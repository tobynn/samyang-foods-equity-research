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f1e2bbb38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c1e214a3764247"/>
    <x:sheet xmlns:r="http://schemas.openxmlformats.org/officeDocument/2006/relationships" name="Inputs" sheetId="2" r:id="Rff4d1b2814924c3b"/>
    <x:sheet xmlns:r="http://schemas.openxmlformats.org/officeDocument/2006/relationships" name="Residual Income" sheetId="3" r:id="R4fa4b21af7ed4d91"/>
    <x:sheet xmlns:r="http://schemas.openxmlformats.org/officeDocument/2006/relationships" name="Sensitivity" sheetId="4" r:id="Rfc8a87a1669849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#,##0.0"/>
    <x:numFmt numFmtId="165" formatCode="0.0%"/>
    <x:numFmt numFmtId="166" formatCode="0.000"/>
  </x:numFmts>
  <x:fonts count="5">
    <x:font>
      <x:sz val="11"/>
      <x:color theme="1"/>
      <x:name val="Calibri"/>
      <x:family val="2"/>
      <x:scheme val="minor"/>
    </x:font>
    <x:font>
      <x:b/>
      <x:sz val="18"/>
      <x:color rgb="FFFFFFFF"/>
    </x:font>
    <x:font>
      <x:b/>
      <x:color rgb="FFFFFFFF"/>
    </x:font>
    <x:font>
      <x:b/>
      <x:sz val="10"/>
      <x:color rgb="FFFFFFFF"/>
      <x:name val="Calibri"/>
      <x:family val="2"/>
      <x:scheme val="minor"/>
    </x:font>
    <x:font>
      <x:sz val="9"/>
      <x:color rgb="FF243447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16213E"/>
      </x:patternFill>
    </x:fill>
    <x:fill>
      <x:patternFill patternType="solid">
        <x:fgColor rgb="FF2F6BFF"/>
      </x:patternFill>
    </x:fill>
    <x:fill>
      <x:patternFill patternType="solid">
        <x:fgColor rgb="FF17365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bottom style="thin">
        <x:color rgb="FFD7DCE2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2" borderId="1" xfId="0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Alignment="1">
      <x:alignment vertical="center"/>
    </x:xf>
    <x:xf numFmtId="3" fontId="0" fillId="0" borderId="1" xfId="0" applyAlignment="1">
      <x:alignment vertical="center"/>
    </x:xf>
    <x:xf numFmtId="164" fontId="0" fillId="0" borderId="1" xfId="0" applyAlignment="1">
      <x:alignment vertical="center"/>
    </x:xf>
    <x:xf numFmtId="165" fontId="0" fillId="0" borderId="1" xfId="0" applyAlignment="1">
      <x:alignment vertical="center"/>
    </x:xf>
    <x:xf numFmtId="0" fontId="2" fillId="3" borderId="1" xfId="0" applyAlignment="1">
      <x:alignment vertical="center"/>
    </x:xf>
    <x:xf numFmtId="166" fontId="0" fillId="0" borderId="1" xfId="0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32cd5b0514119" /><Relationship Type="http://schemas.openxmlformats.org/officeDocument/2006/relationships/theme" Target="/xl/theme/theme1.xml" Id="R8babefc11fb043fc" /><Relationship Type="http://schemas.openxmlformats.org/officeDocument/2006/relationships/sharedStrings" Target="/xl/sharedStrings.xml" Id="Rb397e2f2f83b487c" /><Relationship Type="http://schemas.openxmlformats.org/officeDocument/2006/relationships/worksheet" Target="/xl/worksheets/sheet1.xml" Id="R15c1e214a3764247" /><Relationship Type="http://schemas.openxmlformats.org/officeDocument/2006/relationships/worksheet" Target="/xl/worksheets/sheet2.xml" Id="Rff4d1b2814924c3b" /><Relationship Type="http://schemas.openxmlformats.org/officeDocument/2006/relationships/worksheet" Target="/xl/worksheets/sheet3.xml" Id="R4fa4b21af7ed4d91" /><Relationship Type="http://schemas.openxmlformats.org/officeDocument/2006/relationships/worksheet" Target="/xl/worksheets/sheet4.xml" Id="Rfc8a87a1669849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0" customWidth="1"/>
    <x:col min="2" max="2" width="20" customWidth="1"/>
    <x:col min="3" max="3" width="4" customWidth="1"/>
    <x:col min="4" max="4" width="24" customWidth="1"/>
    <x:col min="5" max="5" width="22" customWidth="1"/>
  </x:cols>
  <x:sheetData>
    <x:row r="1" ht="30" customHeight="1">
      <x:c r="A1" s="1" t="inlineStr">
        <x:is>
          <x:t xml:space="preserve">Samyang Foods Residual Income Model</x:t>
        </x:is>
      </x:c>
      <x:c r="B1" s="2" t="n"/>
      <x:c r="C1" s="2" t="n"/>
      <x:c r="D1" s="2" t="n"/>
      <x:c r="E1" s="2" t="n"/>
    </x:row>
    <x:row r="2">
      <x:c r="A2" s="2" t="n"/>
      <x:c r="B2" s="2" t="n"/>
      <x:c r="C2" s="2" t="n"/>
      <x:c r="D2" s="2" t="n"/>
      <x:c r="E2" s="2" t="n"/>
    </x:row>
    <x:row r="3">
      <x:c r="A3" s="3" t="str">
        <x:v>Valuation date / price date</x:v>
      </x:c>
      <x:c r="B3" s="3" t="str">
        <x:v>2026-09-18</x:v>
      </x:c>
      <x:c r="C3" s="2" t="n"/>
      <x:c r="D3" s="3" t="inlineStr">
        <x:is>
          <x:t xml:space="preserve">Reference price</x:t>
        </x:is>
      </x:c>
      <x:c r="E3" s="4" t="n">
        <x:v>1300000</x:v>
      </x:c>
    </x:row>
    <x:row r="4">
      <x:c r="A4" s="3" t="str">
        <x:v>Consolidated equity proxy (NCI pending)</x:v>
      </x:c>
      <x:c r="B4" s="5" t="n">
        <x:v>1548.3</x:v>
      </x:c>
      <x:c r="C4" s="2" t="n"/>
      <x:c r="D4" s="3" t="inlineStr">
        <x:is>
          <x:t xml:space="preserve">RIM value/share</x:t>
        </x:is>
      </x:c>
      <x:c r="E4" s="4" t="n">
        <x:f>'Residual Income'!B16</x:f>
        <x:v>811036.4786541517</x:v>
      </x:c>
    </x:row>
    <x:row r="5">
      <x:c r="A5" s="3" t="inlineStr">
        <x:is>
          <x:t xml:space="preserve">RIM equity value (KRW bn)</x:t>
        </x:is>
      </x:c>
      <x:c r="B5" s="5" t="n">
        <x:f>'Residual Income'!B15</x:f>
        <x:v>6109.549959248904</x:v>
      </x:c>
      <x:c r="C5" s="2" t="n"/>
      <x:c r="D5" s="3" t="inlineStr">
        <x:is>
          <x:t xml:space="preserve">Upside vs reference</x:t>
        </x:is>
      </x:c>
      <x:c r="E5" s="6" t="n">
        <x:f>E4/E3-1</x:f>
        <x:v>-0.3761257856506526</x:v>
      </x:c>
    </x:row>
    <x:row r="6">
      <x:c r="A6" s="3" t="inlineStr">
        <x:is>
          <x:t xml:space="preserve">Cost of equity</x:t>
        </x:is>
      </x:c>
      <x:c r="B6" s="6" t="n">
        <x:v>0.09</x:v>
      </x:c>
      <x:c r="C6" s="2" t="n"/>
      <x:c r="D6" s="3" t="inlineStr">
        <x:is>
          <x:t xml:space="preserve">Terminal ROE</x:t>
        </x:is>
      </x:c>
      <x:c r="E6" s="6" t="n">
        <x:v>0.14</x:v>
      </x:c>
    </x:row>
    <x:row r="7">
      <x:c r="A7" s="3" t="inlineStr">
        <x:is>
          <x:t xml:space="preserve">Terminal growth</x:t>
        </x:is>
      </x:c>
      <x:c r="B7" s="6" t="n">
        <x:v>0.025</x:v>
      </x:c>
      <x:c r="C7" s="2" t="n"/>
      <x:c r="D7" s="3" t="inlineStr">
        <x:is>
          <x:t xml:space="preserve">Payout ratio</x:t>
        </x:is>
      </x:c>
      <x:c r="E7" s="6" t="n">
        <x:v>0.15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4" customWidth="1"/>
    <x:col min="2" max="2" width="28" customWidth="1"/>
    <x:col min="3" max="3" width="18" customWidth="1"/>
    <x:col min="4" max="4" width="16" customWidth="1"/>
    <x:col min="5" max="5" width="16" customWidth="1"/>
    <x:col min="6" max="6" width="52" customWidth="1"/>
  </x:cols>
  <x:sheetData>
    <x:row r="1" ht="30" customHeight="1">
      <x:c r="A1" s="1" t="inlineStr">
        <x:is>
          <x:t xml:space="preserve">RIM Inputs</x:t>
        </x:is>
      </x:c>
      <x:c r="B1" s="2" t="n"/>
      <x:c r="C1" s="2" t="n"/>
      <x:c r="D1" s="2" t="n"/>
      <x:c r="E1" s="2" t="n"/>
      <x:c r="F1" s="2" t="n"/>
    </x:row>
    <x:row r="2">
      <x:c r="A2" s="2" t="n"/>
      <x:c r="B2" s="2" t="n"/>
      <x:c r="C2" s="2" t="n"/>
      <x:c r="D2" s="2" t="n"/>
      <x:c r="E2" s="2" t="n"/>
      <x:c r="F2" s="2" t="n"/>
    </x:row>
    <x:row r="3">
      <x:c r="A3" s="7" t="inlineStr">
        <x:is>
          <x:t xml:space="preserve">Category</x:t>
        </x:is>
      </x:c>
      <x:c r="B3" s="7" t="inlineStr">
        <x:is>
          <x:t xml:space="preserve">Item</x:t>
        </x:is>
      </x:c>
      <x:c r="C3" s="7" t="inlineStr">
        <x:is>
          <x:t xml:space="preserve">Value</x:t>
        </x:is>
      </x:c>
      <x:c r="D3" s="7" t="inlineStr">
        <x:is>
          <x:t xml:space="preserve">Unit</x:t>
        </x:is>
      </x:c>
      <x:c r="E3" s="7" t="inlineStr">
        <x:is>
          <x:t xml:space="preserve">Status</x:t>
        </x:is>
      </x:c>
      <x:c r="F3" s="7" t="inlineStr">
        <x:is>
          <x:t xml:space="preserve">Source / note</x:t>
        </x:is>
      </x:c>
    </x:row>
    <x:row r="4">
      <x:c r="A4" s="3" t="inlineStr">
        <x:is>
          <x:t xml:space="preserve">Common</x:t>
        </x:is>
      </x:c>
      <x:c r="B4" s="3" t="inlineStr">
        <x:is>
          <x:t xml:space="preserve">Beginning common equity</x:t>
        </x:is>
      </x:c>
      <x:c r="C4" s="3" t="n">
        <x:v>1548.3</x:v>
      </x:c>
      <x:c r="D4" s="3" t="inlineStr">
        <x:is>
          <x:t xml:space="preserve">KRW bn</x:t>
        </x:is>
      </x:c>
      <x:c r="E4" s="3" t="str">
        <x:v>Provisional</x:v>
      </x:c>
      <x:c r="F4" s="3" t="str">
        <x:v>2026H1 consolidated equity proxy; reconcile parent-attributable equity and NCI before final per-share use</x:v>
      </x:c>
    </x:row>
    <x:row r="5">
      <x:c r="A5" s="3" t="inlineStr">
        <x:is>
          <x:t xml:space="preserve">Common</x:t>
        </x:is>
      </x:c>
      <x:c r="B5" s="3" t="inlineStr">
        <x:is>
          <x:t xml:space="preserve">Shares outstanding</x:t>
        </x:is>
      </x:c>
      <x:c r="C5" s="3" t="n">
        <x:v>7.533015</x:v>
      </x:c>
      <x:c r="D5" s="3" t="inlineStr">
        <x:is>
          <x:t xml:space="preserve">mn shares</x:t>
        </x:is>
      </x:c>
      <x:c r="E5" s="3" t="inlineStr">
        <x:is>
          <x:t xml:space="preserve">Filed</x:t>
        </x:is>
      </x:c>
      <x:c r="F5" s="3" t="inlineStr">
        <x:is>
          <x:t xml:space="preserve">7,533,015 common shares</x:t>
        </x:is>
      </x:c>
    </x:row>
    <x:row r="6">
      <x:c r="A6" s="3" t="inlineStr">
        <x:is>
          <x:t xml:space="preserve">RIM</x:t>
        </x:is>
      </x:c>
      <x:c r="B6" s="3" t="inlineStr">
        <x:is>
          <x:t xml:space="preserve">Cost of equity</x:t>
        </x:is>
      </x:c>
      <x:c r="C6" s="6" t="n">
        <x:v>0.09</x:v>
      </x:c>
      <x:c r="D6" s="3" t="inlineStr">
        <x:is>
          <x:t xml:space="preserve">%</x:t>
        </x:is>
      </x:c>
      <x:c r="E6" s="3" t="inlineStr">
        <x:is>
          <x:t xml:space="preserve">Assumption</x:t>
        </x:is>
      </x:c>
      <x:c r="F6" s="3" t="inlineStr">
        <x:is>
          <x:t xml:space="preserve">Independent model assumption</x:t>
        </x:is>
      </x:c>
    </x:row>
    <x:row r="7">
      <x:c r="A7" s="3" t="inlineStr">
        <x:is>
          <x:t xml:space="preserve">RIM</x:t>
        </x:is>
      </x:c>
      <x:c r="B7" s="3" t="inlineStr">
        <x:is>
          <x:t xml:space="preserve">Payout ratio</x:t>
        </x:is>
      </x:c>
      <x:c r="C7" s="6" t="n">
        <x:v>0.15</x:v>
      </x:c>
      <x:c r="D7" s="3" t="inlineStr">
        <x:is>
          <x:t xml:space="preserve">%</x:t>
        </x:is>
      </x:c>
      <x:c r="E7" s="3" t="inlineStr">
        <x:is>
          <x:t xml:space="preserve">Assumption</x:t>
        </x:is>
      </x:c>
      <x:c r="F7" s="3" t="inlineStr">
        <x:is>
          <x:t xml:space="preserve">Applied to Base net income</x:t>
        </x:is>
      </x:c>
    </x:row>
    <x:row r="8">
      <x:c r="A8" s="3" t="inlineStr">
        <x:is>
          <x:t xml:space="preserve">RIM</x:t>
        </x:is>
      </x:c>
      <x:c r="B8" s="3" t="inlineStr">
        <x:is>
          <x:t xml:space="preserve">Terminal ROE</x:t>
        </x:is>
      </x:c>
      <x:c r="C8" s="6" t="n">
        <x:v>0.14</x:v>
      </x:c>
      <x:c r="D8" s="3" t="inlineStr">
        <x:is>
          <x:t xml:space="preserve">%</x:t>
        </x:is>
      </x:c>
      <x:c r="E8" s="3" t="inlineStr">
        <x:is>
          <x:t xml:space="preserve">Assumption</x:t>
        </x:is>
      </x:c>
      <x:c r="F8" s="3" t="inlineStr">
        <x:is>
          <x:t xml:space="preserve">Mature-state ROE</x:t>
        </x:is>
      </x:c>
    </x:row>
    <x:row r="9">
      <x:c r="A9" s="3" t="inlineStr">
        <x:is>
          <x:t xml:space="preserve">RIM</x:t>
        </x:is>
      </x:c>
      <x:c r="B9" s="3" t="inlineStr">
        <x:is>
          <x:t xml:space="preserve">Terminal growth</x:t>
        </x:is>
      </x:c>
      <x:c r="C9" s="6" t="n">
        <x:v>0.025</x:v>
      </x:c>
      <x:c r="D9" s="3" t="inlineStr">
        <x:is>
          <x:t xml:space="preserve">%</x:t>
        </x:is>
      </x:c>
      <x:c r="E9" s="3" t="inlineStr">
        <x:is>
          <x:t xml:space="preserve">Assumption</x:t>
        </x:is>
      </x:c>
      <x:c r="F9" s="3" t="inlineStr">
        <x:is>
          <x:t xml:space="preserve">Long-run nominal growth</x:t>
        </x:is>
      </x:c>
    </x:row>
    <x:row r="10">
      <x:c r="A10" s="3" t="inlineStr">
        <x:is>
          <x:t xml:space="preserve">Market</x:t>
        </x:is>
      </x:c>
      <x:c r="B10" s="3" t="inlineStr">
        <x:is>
          <x:t xml:space="preserve">Reference price</x:t>
        </x:is>
      </x:c>
      <x:c r="C10" s="3" t="n">
        <x:v>1300000</x:v>
      </x:c>
      <x:c r="D10" s="3" t="inlineStr">
        <x:is>
          <x:t xml:space="preserve">KRW/share</x:t>
        </x:is>
      </x:c>
      <x:c r="E10" s="3" t="inlineStr">
        <x:is>
          <x:t xml:space="preserve">Observed</x:t>
        </x:is>
      </x:c>
      <x:c r="F10" s="3" t="inlineStr">
        <x:is>
          <x:t xml:space="preserve">2026-09-18 close</x:t>
        </x:is>
      </x:c>
    </x:row>
    <x:row r="12" ht="22" customHeight="1">
      <x:c r="A12" s="10" t="str">
        <x:v>RIM controls</x:v>
      </x:c>
      <x:c r="B12" s="10"/>
      <x:c r="C12" s="10"/>
      <x:c r="D12" s="10"/>
      <x:c r="E12" s="10"/>
      <x:c r="F12" s="10"/>
    </x:row>
    <x:row r="13" ht="34" customHeight="1">
      <x:c r="A13" s="14" t="str">
        <x:v>Equity anchor</x:v>
      </x:c>
      <x:c r="B13" s="14" t="str">
        <x:v>2026H1 consolidated equity: recheck common-shareholder equity, non-controlling interests and preferred/treasury shares.</x:v>
      </x:c>
      <x:c r="C13" s="14"/>
      <x:c r="D13" s="14"/>
      <x:c r="E13" s="14"/>
      <x:c r="F13" s="14"/>
    </x:row>
    <x:row r="14" ht="34" customHeight="1">
      <x:c r="A14" s="18" t="str">
        <x:v>Market vintage</x:v>
      </x:c>
      <x:c r="B14" s="18" t="str">
        <x:v>Reference price date is 2026-09-18; latest reported actual period ends 2026-06-30. Keep the two dates separate.</x:v>
      </x:c>
      <x:c r="C14" s="18"/>
      <x:c r="D14" s="18"/>
      <x:c r="E14" s="18"/>
      <x:c r="F14" s="18"/>
    </x:row>
    <x:row r="15" ht="34" customHeight="1">
      <x:c r="A15" s="14" t="str">
        <x:v>Long-run ROE</x:v>
      </x:c>
      <x:c r="B15" s="14" t="str">
        <x:v>Terminal ROE 14% is an analyst normalization assumption. Test durability, plant returns and competitive fade; it is not a filed outlook.</x:v>
      </x:c>
      <x:c r="C15" s="14"/>
      <x:c r="D15" s="14"/>
      <x:c r="E15" s="14"/>
      <x:c r="F15" s="14"/>
    </x:row>
    <x:row r="16" ht="34" customHeight="1">
      <x:c r="A16" s="18" t="str">
        <x:v>Refresh gate</x:v>
      </x:c>
      <x:c r="B16" s="18" t="str">
        <x:v>Attribute changes separately to actual equity, forecast earnings/payout, cost of equity and terminal ROE/growth.</x:v>
      </x:c>
      <x:c r="C16" s="18"/>
      <x:c r="D16" s="18"/>
      <x:c r="E16" s="18"/>
      <x:c r="F16" s="18"/>
    </x:row>
    <x:row r="17">
      <x:c r="A17" t="str">
        <x:v>Period bridge</x:v>
      </x:c>
      <x:c r="B17" t="str">
        <x:v>2026H1 reported net income</x:v>
      </x:c>
      <x:c r="C17" t="n">
        <x:v>282.054</x:v>
      </x:c>
      <x:c r="D17" t="str">
        <x:v>KRW bn</x:v>
      </x:c>
      <x:c r="E17" t="str">
        <x:v>Reported</x:v>
      </x:c>
      <x:c r="F17" t="str">
        <x:v>2026H1 consolidated net income</x:v>
      </x:c>
    </x:row>
    <x:row r="18">
      <x:c r="A18" t="str">
        <x:v>Period bridge</x:v>
      </x:c>
      <x:c r="B18" t="str">
        <x:v>2026E full-year base net income</x:v>
      </x:c>
      <x:c r="C18" t="n">
        <x:v>573.5</x:v>
      </x:c>
      <x:c r="D18" t="str">
        <x:v>KRW bn</x:v>
      </x:c>
      <x:c r="E18" t="str">
        <x:v>Analyst forecast</x:v>
      </x:c>
      <x:c r="F18" t="str">
        <x:v>2026E Base scenario</x:v>
      </x:c>
    </x:row>
    <x:row r="19">
      <x:c r="A19" t="str">
        <x:v>Period bridge</x:v>
      </x:c>
      <x:c r="B19" t="str">
        <x:v>2026H2 remaining net income</x:v>
      </x:c>
      <x:c r="C19" t="n">
        <x:f>C18-C17</x:f>
        <x:v>291.446</x:v>
      </x:c>
      <x:c r="D19" t="str">
        <x:v>KRW bn</x:v>
      </x:c>
      <x:c r="E19" t="str">
        <x:v>Formula</x:v>
      </x:c>
      <x:c r="F19" t="str">
        <x:v>FY2026E Base less reported 2026H1 actual</x:v>
      </x:c>
    </x:row>
    <x:row r="20">
      <x:c r="A20" t="str">
        <x:v>RIM method</x:v>
      </x:c>
      <x:c r="B20" t="str">
        <x:v>Terminal RI formula</x:v>
      </x:c>
      <x:c r="C20"/>
      <x:c r="D20" t="str">
        <x:v>text</x:v>
      </x:c>
      <x:c r="E20" t="str">
        <x:v>Method</x:v>
      </x:c>
      <x:c r="F20" t="str">
        <x:v>BV2030 × (terminal ROE − CoE) × (1+g) / (CoE−g)</x:v>
      </x:c>
    </x:row>
  </x:sheetData>
  <x:mergeCells>
    <x:mergeCell ref="A1:F1"/>
    <x:mergeCell ref="A12:F12"/>
    <x:mergeCell ref="B13:F13"/>
    <x:mergeCell ref="B14:F14"/>
    <x:mergeCell ref="B15:F15"/>
    <x:mergeCell ref="B16:F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0" customWidth="1"/>
    <x:col min="2" max="2" width="18" customWidth="1"/>
    <x:col min="3" max="3" width="15" customWidth="1"/>
    <x:col min="4" max="4" width="14" customWidth="1"/>
    <x:col min="5" max="5" width="17" customWidth="1"/>
    <x:col min="6" max="6" width="16" customWidth="1"/>
    <x:col min="7" max="7" width="17" customWidth="1"/>
    <x:col min="8" max="8" width="13" customWidth="1"/>
    <x:col min="9" max="9" width="20" customWidth="1"/>
  </x:cols>
  <x:sheetData>
    <x:row r="1" ht="30" customHeight="1">
      <x:c r="A1" s="1" t="inlineStr">
        <x:is>
          <x:t xml:space="preserve">Residual Income Forecast</x:t>
        </x:is>
      </x:c>
      <x:c r="B1" s="2" t="n"/>
      <x:c r="C1" s="2" t="n"/>
      <x:c r="D1" s="2" t="n"/>
      <x:c r="E1" s="2" t="n"/>
      <x:c r="F1" s="2" t="n"/>
      <x:c r="G1" s="2" t="n"/>
      <x:c r="H1" s="2" t="n"/>
      <x:c r="I1" s="2" t="n"/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</x:row>
    <x:row r="3">
      <x:c r="A3" s="7" t="str">
        <x:v>Period</x:v>
      </x:c>
      <x:c r="B3" s="7" t="str">
        <x:v>Beginning equity</x:v>
      </x:c>
      <x:c r="C3" s="7" t="str">
        <x:v>Net income</x:v>
      </x:c>
      <x:c r="D3" s="7" t="str">
        <x:v>Dividend</x:v>
      </x:c>
      <x:c r="E3" s="7" t="str">
        <x:v>Ending equity</x:v>
      </x:c>
      <x:c r="F3" s="7" t="str">
        <x:v>Equity charge</x:v>
      </x:c>
      <x:c r="G3" s="7" t="str">
        <x:v>Residual income</x:v>
      </x:c>
      <x:c r="H3" s="7" t="str">
        <x:v>PV factor</x:v>
      </x:c>
      <x:c r="I3" s="7" t="str">
        <x:v>PV residual income</x:v>
      </x:c>
    </x:row>
    <x:row r="4">
      <x:c r="A4" s="3" t="str">
        <x:v>2026H2</x:v>
      </x:c>
      <x:c r="B4" s="5" t="n">
        <x:f>Inputs!$C$4</x:f>
        <x:v>1548.3</x:v>
      </x:c>
      <x:c r="C4" s="5" t="n">
        <x:f>Inputs!$C$19</x:f>
        <x:v>291.446</x:v>
      </x:c>
      <x:c r="D4" s="5" t="n">
        <x:f>C4*Inputs!$C$7</x:f>
        <x:v>43.7169</x:v>
      </x:c>
      <x:c r="E4" s="5" t="n">
        <x:f>B4+C4-D4</x:f>
        <x:v>1796.0291000000002</x:v>
      </x:c>
      <x:c r="F4" s="5" t="n">
        <x:f>B4*Inputs!$C$6*0.5</x:f>
        <x:v>69.67349999999999</x:v>
      </x:c>
      <x:c r="G4" s="5" t="n">
        <x:f>C4-F4</x:f>
        <x:v>221.77250000000004</x:v>
      </x:c>
      <x:c r="H4" s="8" t="n">
        <x:f>1/(1+Inputs!$C$6)^0.5</x:f>
        <x:v>0.9578262852211513</x:v>
      </x:c>
      <x:c r="I4" s="5" t="n">
        <x:f>G4*H4</x:f>
        <x:v>212.41952983920783</x:v>
      </x:c>
    </x:row>
    <x:row r="5">
      <x:c r="A5" s="3" t="n">
        <x:v>2027</x:v>
      </x:c>
      <x:c r="B5" s="5" t="n">
        <x:f>E4</x:f>
        <x:v>1796.0291000000002</x:v>
      </x:c>
      <x:c r="C5" s="5" t="n">
        <x:v>699.36</x:v>
      </x:c>
      <x:c r="D5" s="5" t="n">
        <x:f>C5*Inputs!$C$7</x:f>
        <x:v>104.904</x:v>
      </x:c>
      <x:c r="E5" s="5" t="n">
        <x:f>B5+C5-D5</x:f>
        <x:v>2390.4851000000003</x:v>
      </x:c>
      <x:c r="F5" s="5" t="n">
        <x:f>B5*Inputs!$C$6</x:f>
        <x:v>161.64261900000002</x:v>
      </x:c>
      <x:c r="G5" s="5" t="n">
        <x:f>C5-F5</x:f>
        <x:v>537.7173809999999</x:v>
      </x:c>
      <x:c r="H5" s="8" t="n">
        <x:f>1/(1+Inputs!$C$6)^1.5</x:f>
        <x:v>0.8787397112120654</x:v>
      </x:c>
      <x:c r="I5" s="5" t="n">
        <x:f>G5*H5</x:f>
        <x:v>472.51361609364807</x:v>
      </x:c>
    </x:row>
    <x:row r="6">
      <x:c r="A6" s="3" t="n">
        <x:v>2028</x:v>
      </x:c>
      <x:c r="B6" s="5" t="n">
        <x:f>E5</x:f>
        <x:v>2390.4851000000003</x:v>
      </x:c>
      <x:c r="C6" s="5" t="n">
        <x:v>819.888</x:v>
      </x:c>
      <x:c r="D6" s="5" t="n">
        <x:f>C6*Inputs!$C$7</x:f>
        <x:v>122.9832</x:v>
      </x:c>
      <x:c r="E6" s="5" t="n">
        <x:f>B6+C6-D6</x:f>
        <x:v>3087.3899</x:v>
      </x:c>
      <x:c r="F6" s="5" t="n">
        <x:f>B6*Inputs!$C$6</x:f>
        <x:v>215.143659</x:v>
      </x:c>
      <x:c r="G6" s="5" t="n">
        <x:f>C6-F6</x:f>
        <x:v>604.7443410000001</x:v>
      </x:c>
      <x:c r="H6" s="8" t="n">
        <x:f>1/(1+Inputs!$C$6)^2.5</x:f>
        <x:v>0.8061832212954727</x:v>
      </x:c>
      <x:c r="I6" s="5" t="n">
        <x:f>G6*H6</x:f>
        <x:v>487.5347408875879</x:v>
      </x:c>
    </x:row>
    <x:row r="7">
      <x:c r="A7" s="3" t="n">
        <x:v>2029</x:v>
      </x:c>
      <x:c r="B7" s="5" t="n">
        <x:f>E6</x:f>
        <x:v>3087.3899</x:v>
      </x:c>
      <x:c r="C7" s="5" t="n">
        <x:v>903.775</x:v>
      </x:c>
      <x:c r="D7" s="5" t="n">
        <x:f>C7*Inputs!$C$7</x:f>
        <x:v>135.56625</x:v>
      </x:c>
      <x:c r="E7" s="5" t="n">
        <x:f>B7+C7-D7</x:f>
        <x:v>3855.5986500000004</x:v>
      </x:c>
      <x:c r="F7" s="5" t="n">
        <x:f>B7*Inputs!$C$6</x:f>
        <x:v>277.865091</x:v>
      </x:c>
      <x:c r="G7" s="5" t="n">
        <x:f>C7-F7</x:f>
        <x:v>625.909909</x:v>
      </x:c>
      <x:c r="H7" s="8" t="n">
        <x:f>1/(1+Inputs!$C$6)^3.5</x:f>
        <x:v>0.7396176342160301</x:v>
      </x:c>
      <x:c r="I7" s="5" t="n">
        <x:f>G7*H7</x:f>
        <x:v>462.9340061269507</x:v>
      </x:c>
    </x:row>
    <x:row r="8">
      <x:c r="A8" s="3" t="n">
        <x:v>2030</x:v>
      </x:c>
      <x:c r="B8" s="5" t="n">
        <x:f>E7</x:f>
        <x:v>3855.5986500000004</x:v>
      </x:c>
      <x:c r="C8" s="5" t="n">
        <x:v>969.311</x:v>
      </x:c>
      <x:c r="D8" s="5" t="n">
        <x:f>C8*Inputs!$C$7</x:f>
        <x:v>145.39665</x:v>
      </x:c>
      <x:c r="E8" s="5" t="n">
        <x:f>B8+C8-D8</x:f>
        <x:v>4679.513000000001</x:v>
      </x:c>
      <x:c r="F8" s="5" t="n">
        <x:f>B8*Inputs!$C$6</x:f>
        <x:v>347.00387850000004</x:v>
      </x:c>
      <x:c r="G8" s="5" t="n">
        <x:f>C8-F8</x:f>
        <x:v>622.3071215</x:v>
      </x:c>
      <x:c r="H8" s="8" t="n">
        <x:f>1/(1+Inputs!$C$6)^4.5</x:f>
        <x:v>0.6785482882715871</x:v>
      </x:c>
      <x:c r="I8" s="5" t="n">
        <x:f>G8*H8</x:f>
        <x:v>422.26543207304354</x:v>
      </x:c>
    </x:row>
    <x:row r="10">
      <x:c r="A10" t="str">
        <x:v>RIM result</x:v>
      </x:c>
      <x:c r="B10" t="str">
        <x:v>Value</x:v>
      </x:c>
    </x:row>
    <x:row r="11">
      <x:c r="A11" t="str">
        <x:v>Starting equity</x:v>
      </x:c>
      <x:c r="B11" t="n">
        <x:f>Inputs!$C$4</x:f>
        <x:v>1548.3</x:v>
      </x:c>
    </x:row>
    <x:row r="12">
      <x:c r="A12" t="str">
        <x:v>PV residual income</x:v>
      </x:c>
      <x:c r="B12" t="n">
        <x:f>SUM(I4:I8)</x:f>
        <x:v>2057.667325020438</x:v>
      </x:c>
    </x:row>
    <x:row r="13">
      <x:c r="A13" t="str">
        <x:v>Terminal RI value</x:v>
      </x:c>
      <x:c r="B13" t="n">
        <x:f>E8*(Inputs!$C$8-Inputs!$C$6)*(1+Inputs!$C$9)/(Inputs!$C$6-Inputs!$C$9)</x:f>
        <x:v>3689.6160192307702</x:v>
      </x:c>
    </x:row>
    <x:row r="14">
      <x:c r="A14" t="str">
        <x:v>PV terminal RI</x:v>
      </x:c>
      <x:c r="B14" t="n">
        <x:f>B13/(1+Inputs!$C$6)^4.5</x:f>
        <x:v>2503.5826342284663</x:v>
      </x:c>
    </x:row>
    <x:row r="15">
      <x:c r="A15" t="str">
        <x:v>RIM equity value</x:v>
      </x:c>
      <x:c r="B15" t="n">
        <x:f>B11+B12+B14</x:f>
        <x:v>6109.549959248904</x:v>
      </x:c>
    </x:row>
    <x:row r="16">
      <x:c r="A16" t="str">
        <x:v>Value per share</x:v>
      </x:c>
      <x:c r="B16" t="n">
        <x:f>B15*1000/Inputs!$C$5</x:f>
        <x:v>811036.4786541517</x:v>
      </x:c>
    </x:row>
    <x:row r="17">
      <x:c r="A17" t="str">
        <x:v>Terminal RI uses next-period growth</x:v>
      </x:c>
      <x:c r="B17" t="str">
        <x:v>TV uses RI_(t+1); growth factor is included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3" customWidth="1"/>
    <x:col min="2" max="2" width="18" customWidth="1"/>
    <x:col min="3" max="3" width="18" customWidth="1"/>
    <x:col min="4" max="4" width="18" customWidth="1"/>
    <x:col min="5" max="5" width="4" customWidth="1"/>
  </x:cols>
  <x:sheetData>
    <x:row r="1" ht="30" customHeight="1">
      <x:c r="A1" s="1" t="inlineStr">
        <x:is>
          <x:t xml:space="preserve">RIM Sensitivity — Value per Share (KRW)</x:t>
        </x:is>
      </x:c>
      <x:c r="B1" s="2" t="n"/>
      <x:c r="C1" s="2" t="n"/>
      <x:c r="D1" s="2" t="n"/>
      <x:c r="E1" s="2" t="n"/>
      <x:c r="F1" s="2" t="n"/>
    </x:row>
    <x:row r="2">
      <x:c r="A2" s="2" t="n"/>
      <x:c r="B2" s="2" t="n"/>
      <x:c r="C2" s="2" t="n"/>
      <x:c r="D2" s="2" t="n"/>
      <x:c r="E2" s="2" t="n"/>
      <x:c r="F2" s="2" t="n"/>
    </x:row>
    <x:row r="3">
      <x:c r="A3" s="7" t="inlineStr">
        <x:is>
          <x:t xml:space="preserve">COE / terminal ROE</x:t>
        </x:is>
      </x:c>
      <x:c r="B3" s="7" t="inlineStr">
        <x:is>
          <x:t xml:space="preserve">12%</x:t>
        </x:is>
      </x:c>
      <x:c r="C3" s="7" t="inlineStr">
        <x:is>
          <x:t xml:space="preserve">14%</x:t>
        </x:is>
      </x:c>
      <x:c r="D3" s="7" t="inlineStr">
        <x:is>
          <x:t xml:space="preserve">16%</x:t>
        </x:is>
      </x:c>
      <x:c r="E3" s="2" t="n"/>
      <x:c r="F3" s="2" t="n"/>
    </x:row>
    <x:row r="4">
      <x:c r="A4" s="6" t="n">
        <x:v>0.08</x:v>
      </x:c>
      <x:c r="B4" s="4" t="n">
        <x:v>825597.0298841606</x:v>
      </x:c>
      <x:c r="C4" s="4" t="n">
        <x:v>989360.1475823164</x:v>
      </x:c>
      <x:c r="D4" s="4" t="n">
        <x:v>1153123.265280472</x:v>
      </x:c>
      <x:c r="E4" s="2" t="n"/>
      <x:c r="F4" s="2" t="n"/>
    </x:row>
    <x:row r="5">
      <x:c r="A5" s="6" t="n">
        <x:v>0.08500000000000001</x:v>
      </x:c>
      <x:c r="B5" s="4" t="n">
        <x:v>745558.813937585</x:v>
      </x:c>
      <x:c r="C5" s="4" t="n">
        <x:v>892587.0052525045</x:v>
      </x:c>
      <x:c r="D5" s="4" t="n">
        <x:v>1039615.1965674239</x:v>
      </x:c>
      <x:c r="E5" s="2" t="n"/>
      <x:c r="F5" s="2" t="n"/>
    </x:row>
    <x:row r="6">
      <x:c r="A6" s="6" t="n">
        <x:v>0.09</x:v>
      </x:c>
      <x:c r="B6" s="4" t="n">
        <x:v>678097.2698922699</x:v>
      </x:c>
      <x:c r="C6" s="4" t="n">
        <x:v>811036.4786541517</x:v>
      </x:c>
      <x:c r="D6" s="4" t="n">
        <x:v>943975.6874160332</x:v>
      </x:c>
      <x:c r="E6" s="2" t="n"/>
      <x:c r="F6" s="2" t="n"/>
    </x:row>
    <x:row r="7">
      <x:c r="A7" s="6" t="n">
        <x:v>0.095</x:v>
      </x:c>
      <x:c r="B7" s="4" t="n">
        <x:v>620509.7334736735</x:v>
      </x:c>
      <x:c r="C7" s="4" t="n">
        <x:v>741436.9650763536</x:v>
      </x:c>
      <x:c r="D7" s="4" t="n">
        <x:v>862364.1966790337</x:v>
      </x:c>
      <x:c r="E7" s="2" t="n"/>
      <x:c r="F7" s="2" t="n"/>
    </x:row>
    <x:row r="8">
      <x:c r="A8" s="6" t="n">
        <x:v>0.1</x:v>
      </x:c>
      <x:c r="B8" s="4" t="n">
        <x:v>570814.4942494262</x:v>
      </x:c>
      <x:c r="C8" s="4" t="n">
        <x:v>681389.5941343133</x:v>
      </x:c>
      <x:c r="D8" s="4" t="n">
        <x:v>791964.6940192003</x:v>
      </x:c>
      <x:c r="E8" s="2" t="n"/>
      <x:c r="F8" s="2" t="n"/>
    </x:row>
  </x:sheetData>
  <x:mergeCells>
    <x:mergeCell ref="A1:F1"/>
  </x:mergeCells>
  <x:conditionalFormatting sqref="B4:D8">
    <x:cfRule type="colorScale" priority="1">
      <x:colorScale>
        <x:cfvo type="min"/>
        <x:cfvo type="percentile" val="50"/>
        <x:cfvo type="max"/>
        <x:color rgb="00F8696B"/>
        <x:color rgb="00FFEB84"/>
        <x:color rgb="0063BE7B"/>
      </x:colorScale>
    </x:cfRule>
  </x:conditionalFormatting>
  <x:pageMargins left="0.7" right="0.7" top="0.75" bottom="0.75" header="0.3" footer="0.3"/>
</x:worksheet>
</file>