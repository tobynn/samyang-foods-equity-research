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sidual Income" sheetId="3" state="visible" r:id="rId3"/>
    <sheet xmlns:r="http://schemas.openxmlformats.org/officeDocument/2006/relationships" name="Sensitivity" sheetId="4" state="visible" r:id="rId4"/>
  </sheets>
  <definedNames>
    <definedName name="_xlnm._FilterDatabase" localSheetId="0" hidden="1">'Summary'!$A$1:$E$7</definedName>
    <definedName name="_xlnm._FilterDatabase" localSheetId="1" hidden="1">'Inputs'!$A$1:$F$10</definedName>
    <definedName name="_xlnm._FilterDatabase" localSheetId="2" hidden="1">'Residual Income'!$A$1:$I$8</definedName>
    <definedName name="_xlnm._FilterDatabase" localSheetId="3" hidden="1">'Sensitivity'!$A$1:$F$8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2F6BFF"/>
      </patternFill>
    </fill>
  </fills>
  <borders count="2">
    <border>
      <left/>
      <right/>
      <top/>
      <bottom/>
      <diagonal/>
    </border>
    <border>
      <bottom style="thin">
        <color rgb="00D7DCE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24" customWidth="1" min="4" max="4"/>
    <col width="22" customWidth="1" min="5" max="5"/>
  </cols>
  <sheetData>
    <row r="1" ht="30" customHeight="1">
      <c r="A1" s="1" t="inlineStr">
        <is>
          <t>Samyang Foods Residual Income Model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Valuation date</t>
        </is>
      </c>
      <c r="B3" s="3" t="inlineStr">
        <is>
          <t>2026-06-30</t>
        </is>
      </c>
      <c r="C3" s="2" t="n"/>
      <c r="D3" s="3" t="inlineStr">
        <is>
          <t>Reference price</t>
        </is>
      </c>
      <c r="E3" s="4" t="n">
        <v>1300000</v>
      </c>
    </row>
    <row r="4">
      <c r="A4" s="3" t="inlineStr">
        <is>
          <t>Beginning common equity</t>
        </is>
      </c>
      <c r="B4" s="5" t="n">
        <v>1548.3</v>
      </c>
      <c r="C4" s="2" t="n"/>
      <c r="D4" s="3" t="inlineStr">
        <is>
          <t>RIM value/share</t>
        </is>
      </c>
      <c r="E4" s="4" t="n">
        <v>837658.3163496589</v>
      </c>
    </row>
    <row r="5">
      <c r="A5" s="3" t="inlineStr">
        <is>
          <t>RIM equity value (KRW bn)</t>
        </is>
      </c>
      <c r="B5" s="5" t="n">
        <v>6310.092661936726</v>
      </c>
      <c r="C5" s="2" t="n"/>
      <c r="D5" s="3" t="inlineStr">
        <is>
          <t>Upside vs reference</t>
        </is>
      </c>
      <c r="E5" s="6" t="n">
        <v>-0.3556474489618009</v>
      </c>
    </row>
    <row r="6">
      <c r="A6" s="3" t="inlineStr">
        <is>
          <t>Cost of equity</t>
        </is>
      </c>
      <c r="B6" s="6" t="n">
        <v>0.09</v>
      </c>
      <c r="C6" s="2" t="n"/>
      <c r="D6" s="3" t="inlineStr">
        <is>
          <t>Terminal ROE</t>
        </is>
      </c>
      <c r="E6" s="6" t="n">
        <v>0.14</v>
      </c>
    </row>
    <row r="7">
      <c r="A7" s="3" t="inlineStr">
        <is>
          <t>Terminal growth</t>
        </is>
      </c>
      <c r="B7" s="6" t="n">
        <v>0.025</v>
      </c>
      <c r="C7" s="2" t="n"/>
      <c r="D7" s="3" t="inlineStr">
        <is>
          <t>Payout ratio</t>
        </is>
      </c>
      <c r="E7" s="6" t="n">
        <v>0.15</v>
      </c>
    </row>
  </sheetData>
  <autoFilter ref="A1:E7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6" customWidth="1" min="4" max="4"/>
    <col width="16" customWidth="1" min="5" max="5"/>
    <col width="52" customWidth="1" min="6" max="6"/>
  </cols>
  <sheetData>
    <row r="1" ht="30" customHeight="1">
      <c r="A1" s="1" t="inlineStr">
        <is>
          <t>RIM Inputs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7" t="inlineStr">
        <is>
          <t>Category</t>
        </is>
      </c>
      <c r="B3" s="7" t="inlineStr">
        <is>
          <t>Item</t>
        </is>
      </c>
      <c r="C3" s="7" t="inlineStr">
        <is>
          <t>Value</t>
        </is>
      </c>
      <c r="D3" s="7" t="inlineStr">
        <is>
          <t>Unit</t>
        </is>
      </c>
      <c r="E3" s="7" t="inlineStr">
        <is>
          <t>Status</t>
        </is>
      </c>
      <c r="F3" s="7" t="inlineStr">
        <is>
          <t>Source / note</t>
        </is>
      </c>
    </row>
    <row r="4">
      <c r="A4" s="3" t="inlineStr">
        <is>
          <t>Common</t>
        </is>
      </c>
      <c r="B4" s="3" t="inlineStr">
        <is>
          <t>Beginning common equity</t>
        </is>
      </c>
      <c r="C4" s="3" t="n">
        <v>1548.3</v>
      </c>
      <c r="D4" s="3" t="inlineStr">
        <is>
          <t>KRW bn</t>
        </is>
      </c>
      <c r="E4" s="3" t="inlineStr">
        <is>
          <t>Filed</t>
        </is>
      </c>
      <c r="F4" s="3" t="inlineStr">
        <is>
          <t>2026H1 DART filing; consolidated equity</t>
        </is>
      </c>
    </row>
    <row r="5">
      <c r="A5" s="3" t="inlineStr">
        <is>
          <t>Common</t>
        </is>
      </c>
      <c r="B5" s="3" t="inlineStr">
        <is>
          <t>Shares outstanding</t>
        </is>
      </c>
      <c r="C5" s="3" t="n">
        <v>7.533015</v>
      </c>
      <c r="D5" s="3" t="inlineStr">
        <is>
          <t>mn shares</t>
        </is>
      </c>
      <c r="E5" s="3" t="inlineStr">
        <is>
          <t>Filed</t>
        </is>
      </c>
      <c r="F5" s="3" t="inlineStr">
        <is>
          <t>7,533,015 common shares</t>
        </is>
      </c>
    </row>
    <row r="6">
      <c r="A6" s="3" t="inlineStr">
        <is>
          <t>RIM</t>
        </is>
      </c>
      <c r="B6" s="3" t="inlineStr">
        <is>
          <t>Cost of equity</t>
        </is>
      </c>
      <c r="C6" s="6" t="n">
        <v>0.09</v>
      </c>
      <c r="D6" s="3" t="inlineStr">
        <is>
          <t>%</t>
        </is>
      </c>
      <c r="E6" s="3" t="inlineStr">
        <is>
          <t>Assumption</t>
        </is>
      </c>
      <c r="F6" s="3" t="inlineStr">
        <is>
          <t>Independent model assumption</t>
        </is>
      </c>
    </row>
    <row r="7">
      <c r="A7" s="3" t="inlineStr">
        <is>
          <t>RIM</t>
        </is>
      </c>
      <c r="B7" s="3" t="inlineStr">
        <is>
          <t>Payout ratio</t>
        </is>
      </c>
      <c r="C7" s="6" t="n">
        <v>0.15</v>
      </c>
      <c r="D7" s="3" t="inlineStr">
        <is>
          <t>%</t>
        </is>
      </c>
      <c r="E7" s="3" t="inlineStr">
        <is>
          <t>Assumption</t>
        </is>
      </c>
      <c r="F7" s="3" t="inlineStr">
        <is>
          <t>Applied to Base net income</t>
        </is>
      </c>
    </row>
    <row r="8">
      <c r="A8" s="3" t="inlineStr">
        <is>
          <t>RIM</t>
        </is>
      </c>
      <c r="B8" s="3" t="inlineStr">
        <is>
          <t>Terminal ROE</t>
        </is>
      </c>
      <c r="C8" s="6" t="n">
        <v>0.14</v>
      </c>
      <c r="D8" s="3" t="inlineStr">
        <is>
          <t>%</t>
        </is>
      </c>
      <c r="E8" s="3" t="inlineStr">
        <is>
          <t>Assumption</t>
        </is>
      </c>
      <c r="F8" s="3" t="inlineStr">
        <is>
          <t>Mature-state ROE</t>
        </is>
      </c>
    </row>
    <row r="9">
      <c r="A9" s="3" t="inlineStr">
        <is>
          <t>RIM</t>
        </is>
      </c>
      <c r="B9" s="3" t="inlineStr">
        <is>
          <t>Terminal growth</t>
        </is>
      </c>
      <c r="C9" s="6" t="n">
        <v>0.025</v>
      </c>
      <c r="D9" s="3" t="inlineStr">
        <is>
          <t>%</t>
        </is>
      </c>
      <c r="E9" s="3" t="inlineStr">
        <is>
          <t>Assumption</t>
        </is>
      </c>
      <c r="F9" s="3" t="inlineStr">
        <is>
          <t>Long-run nominal growth</t>
        </is>
      </c>
    </row>
    <row r="10">
      <c r="A10" s="3" t="inlineStr">
        <is>
          <t>Market</t>
        </is>
      </c>
      <c r="B10" s="3" t="inlineStr">
        <is>
          <t>Reference price</t>
        </is>
      </c>
      <c r="C10" s="3" t="n">
        <v>1300000</v>
      </c>
      <c r="D10" s="3" t="inlineStr">
        <is>
          <t>KRW/share</t>
        </is>
      </c>
      <c r="E10" s="3" t="inlineStr">
        <is>
          <t>Observed</t>
        </is>
      </c>
      <c r="F10" s="3" t="inlineStr">
        <is>
          <t>2026-09-18 close</t>
        </is>
      </c>
    </row>
  </sheetData>
  <autoFilter ref="A1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5" customWidth="1" min="3" max="3"/>
    <col width="14" customWidth="1" min="4" max="4"/>
    <col width="17" customWidth="1" min="5" max="5"/>
    <col width="16" customWidth="1" min="6" max="6"/>
    <col width="17" customWidth="1" min="7" max="7"/>
    <col width="13" customWidth="1" min="8" max="8"/>
    <col width="20" customWidth="1" min="9" max="9"/>
  </cols>
  <sheetData>
    <row r="1" ht="30" customHeight="1">
      <c r="A1" s="1" t="inlineStr">
        <is>
          <t>Residual Income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7" t="inlineStr">
        <is>
          <t>Year</t>
        </is>
      </c>
      <c r="B3" s="7" t="inlineStr">
        <is>
          <t>Beginning equity</t>
        </is>
      </c>
      <c r="C3" s="7" t="inlineStr">
        <is>
          <t>Net income</t>
        </is>
      </c>
      <c r="D3" s="7" t="inlineStr">
        <is>
          <t>Dividend</t>
        </is>
      </c>
      <c r="E3" s="7" t="inlineStr">
        <is>
          <t>Ending equity</t>
        </is>
      </c>
      <c r="F3" s="7" t="inlineStr">
        <is>
          <t>Equity charge</t>
        </is>
      </c>
      <c r="G3" s="7" t="inlineStr">
        <is>
          <t>Residual income</t>
        </is>
      </c>
      <c r="H3" s="7" t="inlineStr">
        <is>
          <t>PV factor</t>
        </is>
      </c>
      <c r="I3" s="7" t="inlineStr">
        <is>
          <t>PV residual income</t>
        </is>
      </c>
    </row>
    <row r="4">
      <c r="A4" s="3" t="n">
        <v>2026</v>
      </c>
      <c r="B4" s="5" t="n">
        <v>1548.3</v>
      </c>
      <c r="C4" s="5" t="n">
        <v>573.5</v>
      </c>
      <c r="D4" s="5">
        <f>C4*Inputs!$C$7</f>
        <v/>
      </c>
      <c r="E4" s="5">
        <f>B4+C4-D4</f>
        <v/>
      </c>
      <c r="F4" s="5">
        <f>B4*Inputs!$C$6</f>
        <v/>
      </c>
      <c r="G4" s="5">
        <f>C4-F4</f>
        <v/>
      </c>
      <c r="H4" s="8">
        <f>1/(1+Inputs!$C$6)^(A4-2026+0.5)</f>
        <v/>
      </c>
      <c r="I4" s="5">
        <f>G4*H4</f>
        <v/>
      </c>
    </row>
    <row r="5">
      <c r="A5" s="3" t="n">
        <v>2027</v>
      </c>
      <c r="B5" s="5" t="n">
        <v>2035.775</v>
      </c>
      <c r="C5" s="5" t="n">
        <v>699.36</v>
      </c>
      <c r="D5" s="5">
        <f>C5*Inputs!$C$7</f>
        <v/>
      </c>
      <c r="E5" s="5">
        <f>B5+C5-D5</f>
        <v/>
      </c>
      <c r="F5" s="5">
        <f>B5*Inputs!$C$6</f>
        <v/>
      </c>
      <c r="G5" s="5">
        <f>C5-F5</f>
        <v/>
      </c>
      <c r="H5" s="8">
        <f>1/(1+Inputs!$C$6)^(A5-2026+0.5)</f>
        <v/>
      </c>
      <c r="I5" s="5">
        <f>G5*H5</f>
        <v/>
      </c>
    </row>
    <row r="6">
      <c r="A6" s="3" t="n">
        <v>2028</v>
      </c>
      <c r="B6" s="5" t="n">
        <v>2630.231</v>
      </c>
      <c r="C6" s="5" t="n">
        <v>819.888</v>
      </c>
      <c r="D6" s="5">
        <f>C6*Inputs!$C$7</f>
        <v/>
      </c>
      <c r="E6" s="5">
        <f>B6+C6-D6</f>
        <v/>
      </c>
      <c r="F6" s="5">
        <f>B6*Inputs!$C$6</f>
        <v/>
      </c>
      <c r="G6" s="5">
        <f>C6-F6</f>
        <v/>
      </c>
      <c r="H6" s="8">
        <f>1/(1+Inputs!$C$6)^(A6-2026+0.5)</f>
        <v/>
      </c>
      <c r="I6" s="5">
        <f>G6*H6</f>
        <v/>
      </c>
    </row>
    <row r="7">
      <c r="A7" s="3" t="n">
        <v>2029</v>
      </c>
      <c r="B7" s="5" t="n">
        <v>3327.1358</v>
      </c>
      <c r="C7" s="5" t="n">
        <v>903.775</v>
      </c>
      <c r="D7" s="5">
        <f>C7*Inputs!$C$7</f>
        <v/>
      </c>
      <c r="E7" s="5">
        <f>B7+C7-D7</f>
        <v/>
      </c>
      <c r="F7" s="5">
        <f>B7*Inputs!$C$6</f>
        <v/>
      </c>
      <c r="G7" s="5">
        <f>C7-F7</f>
        <v/>
      </c>
      <c r="H7" s="8">
        <f>1/(1+Inputs!$C$6)^(A7-2026+0.5)</f>
        <v/>
      </c>
      <c r="I7" s="5">
        <f>G7*H7</f>
        <v/>
      </c>
    </row>
    <row r="8">
      <c r="A8" s="3" t="n">
        <v>2030</v>
      </c>
      <c r="B8" s="5" t="n">
        <v>4095.34455</v>
      </c>
      <c r="C8" s="5" t="n">
        <v>969.311</v>
      </c>
      <c r="D8" s="5">
        <f>C8*Inputs!$C$7</f>
        <v/>
      </c>
      <c r="E8" s="5">
        <f>B8+C8-D8</f>
        <v/>
      </c>
      <c r="F8" s="5">
        <f>B8*Inputs!$C$6</f>
        <v/>
      </c>
      <c r="G8" s="5">
        <f>C8-F8</f>
        <v/>
      </c>
      <c r="H8" s="8">
        <f>1/(1+Inputs!$C$6)^(A8-2026+0.5)</f>
        <v/>
      </c>
      <c r="I8" s="5">
        <f>G8*H8</f>
        <v/>
      </c>
    </row>
  </sheetData>
  <autoFilter ref="A1:I8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8" customWidth="1" min="2" max="2"/>
    <col width="18" customWidth="1" min="3" max="3"/>
    <col width="18" customWidth="1" min="4" max="4"/>
    <col width="4" customWidth="1" min="5" max="5"/>
  </cols>
  <sheetData>
    <row r="1" ht="30" customHeight="1">
      <c r="A1" s="1" t="inlineStr">
        <is>
          <t>RIM Sensitivity — Value per Share (KRW)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7" t="inlineStr">
        <is>
          <t>COE / terminal ROE</t>
        </is>
      </c>
      <c r="B3" s="7" t="inlineStr">
        <is>
          <t>12%</t>
        </is>
      </c>
      <c r="C3" s="7" t="inlineStr">
        <is>
          <t>14%</t>
        </is>
      </c>
      <c r="D3" s="7" t="inlineStr">
        <is>
          <t>16%</t>
        </is>
      </c>
      <c r="E3" s="2" t="n"/>
      <c r="F3" s="2" t="n"/>
    </row>
    <row r="4">
      <c r="A4" s="6" t="n">
        <v>0.08</v>
      </c>
      <c r="B4" s="4" t="n">
        <v>853982.7778084386</v>
      </c>
      <c r="C4" s="4" t="n">
        <v>1021937.126951786</v>
      </c>
      <c r="D4" s="4" t="n">
        <v>1189891.476095132</v>
      </c>
      <c r="E4" s="2" t="n"/>
      <c r="F4" s="2" t="n"/>
    </row>
    <row r="5">
      <c r="A5" s="6" t="n">
        <v>0.08500000000000001</v>
      </c>
      <c r="B5" s="4" t="n">
        <v>771196.6618216623</v>
      </c>
      <c r="C5" s="4" t="n">
        <v>921987.7833215365</v>
      </c>
      <c r="D5" s="4" t="n">
        <v>1072778.90482141</v>
      </c>
      <c r="E5" s="2" t="n"/>
      <c r="F5" s="2" t="n"/>
    </row>
    <row r="6">
      <c r="A6" s="6" t="n">
        <v>0.09</v>
      </c>
      <c r="B6" s="4" t="n">
        <v>701316.7603444339</v>
      </c>
      <c r="C6" s="4" t="n">
        <v>837658.3163496589</v>
      </c>
      <c r="D6" s="4" t="n">
        <v>973999.8723548837</v>
      </c>
      <c r="E6" s="2" t="n"/>
      <c r="F6" s="2" t="n"/>
    </row>
    <row r="7">
      <c r="A7" s="6" t="n">
        <v>0.095</v>
      </c>
      <c r="B7" s="4" t="n">
        <v>641571.0550625738</v>
      </c>
      <c r="C7" s="4" t="n">
        <v>765593.208298385</v>
      </c>
      <c r="D7" s="4" t="n">
        <v>889615.3615341963</v>
      </c>
      <c r="E7" s="2" t="n"/>
      <c r="F7" s="2" t="n"/>
    </row>
    <row r="8">
      <c r="A8" s="6" t="n">
        <v>0.1</v>
      </c>
      <c r="B8" s="4" t="n">
        <v>589926.9388832611</v>
      </c>
      <c r="C8" s="4" t="n">
        <v>703332.0156408824</v>
      </c>
      <c r="D8" s="4" t="n">
        <v>816737.0923985039</v>
      </c>
      <c r="E8" s="2" t="n"/>
      <c r="F8" s="2" t="n"/>
    </row>
  </sheetData>
  <autoFilter ref="A1:F8"/>
  <mergeCells count="1">
    <mergeCell ref="A1:F1"/>
  </mergeCells>
  <conditionalFormatting sqref="B4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2026-09-23T00:10:57Z</dcterms:created>
  <dcterms:modified xmlns:dcterms="http://purl.org/dc/terms/" xmlns:xsi="http://www.w3.org/2001/XMLSchema-instance" xsi:type="dcterms:W3CDTF">2026-09-23T00:10:57Z</dcterms:modified>
</cp:coreProperties>
</file>