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orecast" sheetId="3" state="visible" r:id="rId3"/>
    <sheet xmlns:r="http://schemas.openxmlformats.org/officeDocument/2006/relationships" name="Sensitivity" sheetId="4" state="visible" r:id="rId4"/>
  </sheets>
  <definedNames>
    <definedName name="_xlnm._FilterDatabase" localSheetId="0" hidden="1">'Summary'!$A$1:$E$7</definedName>
    <definedName name="_xlnm._FilterDatabase" localSheetId="1" hidden="1">'Inputs'!$A$1:$F$9</definedName>
    <definedName name="_xlnm._FilterDatabase" localSheetId="2" hidden="1">'Forecast'!$A$1:$N$8</definedName>
    <definedName name="_xlnm._FilterDatabase" localSheetId="3" hidden="1">'Sensitivity'!$A$1:$E$8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3">
    <font>
      <name val="Calibri"/>
      <family val="2"/>
      <color theme="1"/>
      <sz val="11"/>
      <scheme val="minor"/>
    </font>
    <font>
      <b val="1"/>
      <color rgb="00FFFFFF"/>
      <sz val="18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6213E"/>
      </patternFill>
    </fill>
    <fill>
      <patternFill patternType="solid">
        <fgColor rgb="002F6BFF"/>
      </patternFill>
    </fill>
  </fills>
  <borders count="2">
    <border>
      <left/>
      <right/>
      <top/>
      <bottom/>
      <diagonal/>
    </border>
    <border>
      <bottom style="thin">
        <color rgb="00D7DCE2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164" fontId="0" fillId="0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24" customWidth="1" min="4" max="4"/>
    <col width="28" customWidth="1" min="5" max="5"/>
  </cols>
  <sheetData>
    <row r="1" ht="30" customHeight="1">
      <c r="A1" s="1" t="inlineStr">
        <is>
          <t>Samyang Foods DCF Valuation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3" t="inlineStr">
        <is>
          <t>Valuation date</t>
        </is>
      </c>
      <c r="B3" s="3" t="inlineStr">
        <is>
          <t>2026-06-30</t>
        </is>
      </c>
      <c r="C3" s="2" t="n"/>
      <c r="D3" s="3" t="inlineStr">
        <is>
          <t>Reference price</t>
        </is>
      </c>
      <c r="E3" s="4" t="n">
        <v>1300000</v>
      </c>
    </row>
    <row r="4">
      <c r="A4" s="3" t="inlineStr">
        <is>
          <t>DCF equity value (KRW bn)</t>
        </is>
      </c>
      <c r="B4" s="5" t="n">
        <v>12293.10424995298</v>
      </c>
      <c r="C4" s="2" t="n"/>
      <c r="D4" s="3" t="inlineStr">
        <is>
          <t>DCF value/share</t>
        </is>
      </c>
      <c r="E4" s="4" t="n">
        <v>1631896.956258946</v>
      </c>
    </row>
    <row r="5">
      <c r="A5" s="3" t="inlineStr">
        <is>
          <t>PV of explicit FCFF</t>
        </is>
      </c>
      <c r="B5" s="5" t="n">
        <v>2418.981564090913</v>
      </c>
      <c r="C5" s="2" t="n"/>
      <c r="D5" s="3" t="inlineStr">
        <is>
          <t>Upside vs reference</t>
        </is>
      </c>
      <c r="E5" s="6" t="n">
        <v>0.2553053509684198</v>
      </c>
    </row>
    <row r="6">
      <c r="A6" s="3" t="inlineStr">
        <is>
          <t>PV of terminal value</t>
        </is>
      </c>
      <c r="B6" s="5" t="n">
        <v>9797.815685862068</v>
      </c>
      <c r="C6" s="2" t="n"/>
      <c r="D6" s="3" t="inlineStr">
        <is>
          <t>Status</t>
        </is>
      </c>
      <c r="E6" s="3" t="inlineStr">
        <is>
          <t>2026H1 filing anchored</t>
        </is>
      </c>
    </row>
    <row r="7">
      <c r="A7" s="3" t="inlineStr">
        <is>
          <t>Net cash</t>
        </is>
      </c>
      <c r="B7" s="5" t="n">
        <v>76.307</v>
      </c>
      <c r="C7" s="2" t="n"/>
      <c r="D7" s="3" t="inlineStr">
        <is>
          <t>Model convention</t>
        </is>
      </c>
      <c r="E7" s="3" t="inlineStr">
        <is>
          <t>Mid-year discounting</t>
        </is>
      </c>
    </row>
  </sheetData>
  <autoFilter ref="A1:E7"/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24" customWidth="1" min="2" max="2"/>
    <col width="18" customWidth="1" min="3" max="3"/>
    <col width="16" customWidth="1" min="4" max="4"/>
    <col width="16" customWidth="1" min="5" max="5"/>
    <col width="52" customWidth="1" min="6" max="6"/>
  </cols>
  <sheetData>
    <row r="1" ht="30" customHeight="1">
      <c r="A1" s="1" t="inlineStr">
        <is>
          <t>DCF Inputs</t>
        </is>
      </c>
      <c r="B1" s="2" t="n"/>
      <c r="C1" s="2" t="n"/>
      <c r="D1" s="2" t="n"/>
      <c r="E1" s="2" t="n"/>
      <c r="F1" s="2" t="n"/>
    </row>
    <row r="2">
      <c r="A2" s="2" t="n"/>
      <c r="B2" s="2" t="n"/>
      <c r="C2" s="2" t="n"/>
      <c r="D2" s="2" t="n"/>
      <c r="E2" s="2" t="n"/>
      <c r="F2" s="2" t="n"/>
    </row>
    <row r="3">
      <c r="A3" s="7" t="inlineStr">
        <is>
          <t>Category</t>
        </is>
      </c>
      <c r="B3" s="7" t="inlineStr">
        <is>
          <t>Item</t>
        </is>
      </c>
      <c r="C3" s="7" t="inlineStr">
        <is>
          <t>Value</t>
        </is>
      </c>
      <c r="D3" s="7" t="inlineStr">
        <is>
          <t>Unit</t>
        </is>
      </c>
      <c r="E3" s="7" t="inlineStr">
        <is>
          <t>Status</t>
        </is>
      </c>
      <c r="F3" s="7" t="inlineStr">
        <is>
          <t>Source / note</t>
        </is>
      </c>
    </row>
    <row r="4">
      <c r="A4" s="3" t="inlineStr">
        <is>
          <t>Common</t>
        </is>
      </c>
      <c r="B4" s="3" t="inlineStr">
        <is>
          <t>Shares outstanding</t>
        </is>
      </c>
      <c r="C4" s="3" t="n">
        <v>7.533015</v>
      </c>
      <c r="D4" s="3" t="inlineStr">
        <is>
          <t>mn shares</t>
        </is>
      </c>
      <c r="E4" s="3" t="inlineStr">
        <is>
          <t>Filed</t>
        </is>
      </c>
      <c r="F4" s="3" t="inlineStr">
        <is>
          <t>7,533,015 common shares</t>
        </is>
      </c>
    </row>
    <row r="5">
      <c r="A5" s="3" t="inlineStr">
        <is>
          <t>Common</t>
        </is>
      </c>
      <c r="B5" s="3" t="inlineStr">
        <is>
          <t>Net cash</t>
        </is>
      </c>
      <c r="C5" s="3" t="n">
        <v>76.307</v>
      </c>
      <c r="D5" s="3" t="inlineStr">
        <is>
          <t>KRW bn</t>
        </is>
      </c>
      <c r="E5" s="3" t="inlineStr">
        <is>
          <t>Filed</t>
        </is>
      </c>
      <c r="F5" s="3" t="inlineStr">
        <is>
          <t>2026H1 cash + ST financial assets - debt - leases</t>
        </is>
      </c>
    </row>
    <row r="6">
      <c r="A6" s="3" t="inlineStr">
        <is>
          <t>DCF</t>
        </is>
      </c>
      <c r="B6" s="3" t="inlineStr">
        <is>
          <t>WACC</t>
        </is>
      </c>
      <c r="C6" s="6" t="n">
        <v>0.08500000000000001</v>
      </c>
      <c r="D6" s="3" t="inlineStr">
        <is>
          <t>%</t>
        </is>
      </c>
      <c r="E6" s="3" t="inlineStr">
        <is>
          <t>Assumption</t>
        </is>
      </c>
      <c r="F6" s="3" t="inlineStr">
        <is>
          <t>Independent model assumption</t>
        </is>
      </c>
    </row>
    <row r="7">
      <c r="A7" s="3" t="inlineStr">
        <is>
          <t>DCF</t>
        </is>
      </c>
      <c r="B7" s="3" t="inlineStr">
        <is>
          <t>Terminal growth</t>
        </is>
      </c>
      <c r="C7" s="6" t="n">
        <v>0.025</v>
      </c>
      <c r="D7" s="3" t="inlineStr">
        <is>
          <t>%</t>
        </is>
      </c>
      <c r="E7" s="3" t="inlineStr">
        <is>
          <t>Assumption</t>
        </is>
      </c>
      <c r="F7" s="3" t="inlineStr">
        <is>
          <t>Long-run nominal growth</t>
        </is>
      </c>
    </row>
    <row r="8">
      <c r="A8" s="3" t="inlineStr">
        <is>
          <t>DCF</t>
        </is>
      </c>
      <c r="B8" s="3" t="inlineStr">
        <is>
          <t>Discount timing</t>
        </is>
      </c>
      <c r="C8" s="3" t="inlineStr">
        <is>
          <t>Mid-year</t>
        </is>
      </c>
      <c r="D8" s="3" t="inlineStr">
        <is>
          <t>text</t>
        </is>
      </c>
      <c r="E8" s="3" t="inlineStr">
        <is>
          <t>Assumption</t>
        </is>
      </c>
      <c r="F8" s="3" t="inlineStr">
        <is>
          <t>2026E FCFF discounted by 0.5 year</t>
        </is>
      </c>
    </row>
    <row r="9">
      <c r="A9" s="3" t="inlineStr">
        <is>
          <t>Market</t>
        </is>
      </c>
      <c r="B9" s="3" t="inlineStr">
        <is>
          <t>Reference price</t>
        </is>
      </c>
      <c r="C9" s="3" t="n">
        <v>1300000</v>
      </c>
      <c r="D9" s="3" t="inlineStr">
        <is>
          <t>KRW/share</t>
        </is>
      </c>
      <c r="E9" s="3" t="inlineStr">
        <is>
          <t>Observed</t>
        </is>
      </c>
      <c r="F9" s="3" t="inlineStr">
        <is>
          <t>2026-09-18 close</t>
        </is>
      </c>
    </row>
  </sheetData>
  <autoFilter ref="A1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4" customWidth="1" min="5" max="5"/>
    <col width="10" customWidth="1" min="6" max="6"/>
    <col width="14" customWidth="1" min="7" max="7"/>
    <col width="12" customWidth="1" min="8" max="8"/>
    <col width="12" customWidth="1" min="9" max="9"/>
    <col width="12" customWidth="1" min="10" max="10"/>
    <col width="14" customWidth="1" min="11" max="11"/>
    <col width="16" customWidth="1" min="12" max="12"/>
    <col width="14" customWidth="1" min="13" max="13"/>
    <col width="12" customWidth="1" min="14" max="14"/>
  </cols>
  <sheetData>
    <row r="1" ht="30" customHeight="1">
      <c r="A1" s="1" t="inlineStr">
        <is>
          <t>DCF Forecast &amp; Discounting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7" t="inlineStr">
        <is>
          <t>Year</t>
        </is>
      </c>
      <c r="B3" s="7" t="inlineStr">
        <is>
          <t>Revenue</t>
        </is>
      </c>
      <c r="C3" s="7" t="inlineStr">
        <is>
          <t>Growth</t>
        </is>
      </c>
      <c r="D3" s="7" t="inlineStr">
        <is>
          <t>EBIT margin</t>
        </is>
      </c>
      <c r="E3" s="7" t="inlineStr">
        <is>
          <t>EBIT</t>
        </is>
      </c>
      <c r="F3" s="7" t="inlineStr">
        <is>
          <t>Tax</t>
        </is>
      </c>
      <c r="G3" s="7" t="inlineStr">
        <is>
          <t>NOPAT</t>
        </is>
      </c>
      <c r="H3" s="7" t="inlineStr">
        <is>
          <t>D&amp;A</t>
        </is>
      </c>
      <c r="I3" s="7" t="inlineStr">
        <is>
          <t>CAPEX</t>
        </is>
      </c>
      <c r="J3" s="7" t="inlineStr">
        <is>
          <t>ΔNWC</t>
        </is>
      </c>
      <c r="K3" s="7" t="inlineStr">
        <is>
          <t>FCFF</t>
        </is>
      </c>
      <c r="L3" s="7" t="inlineStr">
        <is>
          <t>Discount factor</t>
        </is>
      </c>
      <c r="M3" s="7" t="inlineStr">
        <is>
          <t>PV FCFF</t>
        </is>
      </c>
      <c r="N3" s="7" t="inlineStr">
        <is>
          <t>Unit</t>
        </is>
      </c>
    </row>
    <row r="4">
      <c r="A4" s="3" t="n">
        <v>2026</v>
      </c>
      <c r="B4" s="5" t="n">
        <v>3100</v>
      </c>
      <c r="C4" s="6" t="n">
        <v>0.318148</v>
      </c>
      <c r="D4" s="6" t="n">
        <v>0.235</v>
      </c>
      <c r="E4" s="5" t="n">
        <v>728.5</v>
      </c>
      <c r="F4" s="6" t="n">
        <v>0.26</v>
      </c>
      <c r="G4" s="5">
        <f>E4*(1-F4)</f>
        <v/>
      </c>
      <c r="H4" s="5" t="n">
        <v>80</v>
      </c>
      <c r="I4" s="5" t="n">
        <v>250</v>
      </c>
      <c r="J4" s="5" t="n">
        <v>74.523</v>
      </c>
      <c r="K4" s="5">
        <f>G4+H4-I4-J4</f>
        <v/>
      </c>
      <c r="L4" s="6">
        <f>1/(1+Inputs!$C$6)^(A4-2026+0.5)</f>
        <v/>
      </c>
      <c r="M4" s="5">
        <f>K4*L4</f>
        <v/>
      </c>
      <c r="N4" s="3" t="inlineStr">
        <is>
          <t>KRW bn</t>
        </is>
      </c>
    </row>
    <row r="5">
      <c r="A5" s="3" t="n">
        <v>2027</v>
      </c>
      <c r="B5" s="5" t="n">
        <v>3720</v>
      </c>
      <c r="C5" s="6" t="n">
        <v>0.2</v>
      </c>
      <c r="D5" s="6" t="n">
        <v>0.238</v>
      </c>
      <c r="E5" s="5" t="n">
        <v>885.36</v>
      </c>
      <c r="F5" s="6" t="n">
        <v>0.26</v>
      </c>
      <c r="G5" s="5">
        <f>E5*(1-F5)</f>
        <v/>
      </c>
      <c r="H5" s="5" t="n">
        <v>105</v>
      </c>
      <c r="I5" s="5" t="n">
        <v>180</v>
      </c>
      <c r="J5" s="5" t="n">
        <v>63.86</v>
      </c>
      <c r="K5" s="5">
        <f>G5+H5-I5-J5</f>
        <v/>
      </c>
      <c r="L5" s="6">
        <f>1/(1+Inputs!$C$6)^(A5-2026+0.5)</f>
        <v/>
      </c>
      <c r="M5" s="5">
        <f>K5*L5</f>
        <v/>
      </c>
      <c r="N5" s="3" t="inlineStr">
        <is>
          <t>KRW bn</t>
        </is>
      </c>
    </row>
    <row r="6">
      <c r="A6" s="3" t="n">
        <v>2028</v>
      </c>
      <c r="B6" s="5" t="n">
        <v>4315.2</v>
      </c>
      <c r="C6" s="6" t="n">
        <v>0.16</v>
      </c>
      <c r="D6" s="6" t="n">
        <v>0.24</v>
      </c>
      <c r="E6" s="5" t="n">
        <v>1035.648</v>
      </c>
      <c r="F6" s="6" t="n">
        <v>0.26</v>
      </c>
      <c r="G6" s="5">
        <f>E6*(1-F6)</f>
        <v/>
      </c>
      <c r="H6" s="5" t="n">
        <v>120</v>
      </c>
      <c r="I6" s="5" t="n">
        <v>170</v>
      </c>
      <c r="J6" s="5" t="n">
        <v>57.288</v>
      </c>
      <c r="K6" s="5">
        <f>G6+H6-I6-J6</f>
        <v/>
      </c>
      <c r="L6" s="6">
        <f>1/(1+Inputs!$C$6)^(A6-2026+0.5)</f>
        <v/>
      </c>
      <c r="M6" s="5">
        <f>K6*L6</f>
        <v/>
      </c>
      <c r="N6" s="3" t="inlineStr">
        <is>
          <t>KRW bn</t>
        </is>
      </c>
    </row>
    <row r="7">
      <c r="A7" s="3" t="n">
        <v>2029</v>
      </c>
      <c r="B7" s="5" t="n">
        <v>4833.024</v>
      </c>
      <c r="C7" s="6" t="n">
        <v>0.12</v>
      </c>
      <c r="D7" s="6" t="n">
        <v>0.238</v>
      </c>
      <c r="E7" s="5" t="n">
        <v>1150.26</v>
      </c>
      <c r="F7" s="6" t="n">
        <v>0.26</v>
      </c>
      <c r="G7" s="5">
        <f>E7*(1-F7)</f>
        <v/>
      </c>
      <c r="H7" s="5" t="n">
        <v>130</v>
      </c>
      <c r="I7" s="5" t="n">
        <v>180</v>
      </c>
      <c r="J7" s="5" t="n">
        <v>45.051</v>
      </c>
      <c r="K7" s="5">
        <f>G7+H7-I7-J7</f>
        <v/>
      </c>
      <c r="L7" s="6">
        <f>1/(1+Inputs!$C$6)^(A7-2026+0.5)</f>
        <v/>
      </c>
      <c r="M7" s="5">
        <f>K7*L7</f>
        <v/>
      </c>
      <c r="N7" s="3" t="inlineStr">
        <is>
          <t>KRW bn</t>
        </is>
      </c>
    </row>
    <row r="8">
      <c r="A8" s="3" t="n">
        <v>2030</v>
      </c>
      <c r="B8" s="5" t="n">
        <v>5267.996</v>
      </c>
      <c r="C8" s="6" t="n">
        <v>0.09</v>
      </c>
      <c r="D8" s="6" t="n">
        <v>0.235</v>
      </c>
      <c r="E8" s="5" t="n">
        <v>1237.979</v>
      </c>
      <c r="F8" s="6" t="n">
        <v>0.26</v>
      </c>
      <c r="G8" s="5">
        <f>E8*(1-F8)</f>
        <v/>
      </c>
      <c r="H8" s="5" t="n">
        <v>140</v>
      </c>
      <c r="I8" s="5" t="n">
        <v>190</v>
      </c>
      <c r="J8" s="5" t="n">
        <v>38.181</v>
      </c>
      <c r="K8" s="5">
        <f>G8+H8-I8-J8</f>
        <v/>
      </c>
      <c r="L8" s="6">
        <f>1/(1+Inputs!$C$6)^(A8-2026+0.5)</f>
        <v/>
      </c>
      <c r="M8" s="5">
        <f>K8*L8</f>
        <v/>
      </c>
      <c r="N8" s="3" t="inlineStr">
        <is>
          <t>KRW bn</t>
        </is>
      </c>
    </row>
  </sheetData>
  <autoFilter ref="A1:N8"/>
  <mergeCells count="1"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4" customWidth="1" min="5" max="5"/>
  </cols>
  <sheetData>
    <row r="1" ht="30" customHeight="1">
      <c r="A1" s="1" t="inlineStr">
        <is>
          <t>DCF Sensitivity — Value per Share (KRW)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3">
      <c r="A3" s="7" t="inlineStr">
        <is>
          <t>WACC / g</t>
        </is>
      </c>
      <c r="B3" s="7" t="inlineStr">
        <is>
          <t>2.0%</t>
        </is>
      </c>
      <c r="C3" s="7" t="inlineStr">
        <is>
          <t>2.5%</t>
        </is>
      </c>
      <c r="D3" s="7" t="inlineStr">
        <is>
          <t>3.0%</t>
        </is>
      </c>
      <c r="E3" s="2" t="n"/>
    </row>
    <row r="4">
      <c r="A4" s="6" t="n">
        <v>0.075</v>
      </c>
      <c r="B4" s="4" t="n">
        <v>1811709.516093668</v>
      </c>
      <c r="C4" s="4" t="n">
        <v>1966851.494578313</v>
      </c>
      <c r="D4" s="4" t="n">
        <v>2156469.468281768</v>
      </c>
      <c r="E4" s="2" t="n"/>
    </row>
    <row r="5">
      <c r="A5" s="6" t="n">
        <v>0.08</v>
      </c>
      <c r="B5" s="4" t="n">
        <v>1656902.089060203</v>
      </c>
      <c r="C5" s="4" t="n">
        <v>1784104.270779222</v>
      </c>
      <c r="D5" s="4" t="n">
        <v>1936746.888842045</v>
      </c>
      <c r="E5" s="2" t="n"/>
    </row>
    <row r="6">
      <c r="A6" s="6" t="n">
        <v>0.08500000000000001</v>
      </c>
      <c r="B6" s="4" t="n">
        <v>1525990.373853603</v>
      </c>
      <c r="C6" s="4" t="n">
        <v>1631896.956258946</v>
      </c>
      <c r="D6" s="4" t="n">
        <v>1757059.280919806</v>
      </c>
      <c r="E6" s="2" t="n"/>
    </row>
    <row r="7">
      <c r="A7" s="6" t="n">
        <v>0.09</v>
      </c>
      <c r="B7" s="4" t="n">
        <v>1413852.31977681</v>
      </c>
      <c r="C7" s="4" t="n">
        <v>1503180.298044413</v>
      </c>
      <c r="D7" s="4" t="n">
        <v>1607396.272689951</v>
      </c>
      <c r="E7" s="2" t="n"/>
    </row>
    <row r="8">
      <c r="A8" s="6" t="n">
        <v>0.095</v>
      </c>
      <c r="B8" s="4" t="n">
        <v>1316731.793671299</v>
      </c>
      <c r="C8" s="4" t="n">
        <v>1392919.153471362</v>
      </c>
      <c r="D8" s="4" t="n">
        <v>1480827.645548358</v>
      </c>
      <c r="E8" s="2" t="n"/>
    </row>
  </sheetData>
  <autoFilter ref="A1:E8"/>
  <mergeCells count="1">
    <mergeCell ref="A1:E1"/>
  </mergeCells>
  <conditionalFormatting sqref="B4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2026-09-23T00:10:57Z</dcterms:created>
  <dcterms:modified xmlns:dcterms="http://purl.org/dc/terms/" xmlns:xsi="http://www.w3.org/2001/XMLSchema-instance" xsi:type="dcterms:W3CDTF">2026-09-23T00:10:57Z</dcterms:modified>
</cp:coreProperties>
</file>