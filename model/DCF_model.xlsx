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936125acba47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313c61e78d45cc"/>
    <x:sheet xmlns:r="http://schemas.openxmlformats.org/officeDocument/2006/relationships" name="Inputs" sheetId="2" r:id="Rc1613b9bc2924a54"/>
    <x:sheet xmlns:r="http://schemas.openxmlformats.org/officeDocument/2006/relationships" name="Forecast" sheetId="3" r:id="R3c700fe6aa6a4071"/>
    <x:sheet xmlns:r="http://schemas.openxmlformats.org/officeDocument/2006/relationships" name="Sensitivity" sheetId="4" r:id="Rb4ce5704b43b4b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#,##0.0"/>
    <x:numFmt numFmtId="165" formatCode="0.0%"/>
  </x:numFmts>
  <x:fonts count="5">
    <x:font>
      <x:sz val="11"/>
      <x:color theme="1"/>
      <x:name val="Calibri"/>
      <x:family val="2"/>
      <x:scheme val="minor"/>
    </x:font>
    <x:font>
      <x:b/>
      <x:sz val="18"/>
      <x:color rgb="FFFFFFFF"/>
    </x:font>
    <x:font>
      <x:b/>
      <x:color rgb="FFFFFFFF"/>
    </x:font>
    <x:font>
      <x:b/>
      <x:sz val="10"/>
      <x:color rgb="FFFFFFFF"/>
      <x:name val="Calibri"/>
      <x:family val="2"/>
      <x:scheme val="minor"/>
    </x:font>
    <x:font>
      <x:sz val="9"/>
      <x:color rgb="FF243447"/>
      <x:name val="Arial"/>
      <x:family val="2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rgb="FF16213E"/>
      </x:patternFill>
    </x:fill>
    <x:fill>
      <x:patternFill patternType="solid">
        <x:fgColor rgb="FF2F6BFF"/>
      </x:patternFill>
    </x:fill>
    <x:fill>
      <x:patternFill patternType="solid">
        <x:fgColor rgb="FF17365D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bottom style="thin">
        <x:color rgb="FFD7DCE2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2" borderId="1" xfId="0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Alignment="1">
      <x:alignment vertical="center"/>
    </x:xf>
    <x:xf numFmtId="3" fontId="0" fillId="0" borderId="1" xfId="0" applyAlignment="1">
      <x:alignment vertical="center"/>
    </x:xf>
    <x:xf numFmtId="164" fontId="0" fillId="0" borderId="1" xfId="0" applyAlignment="1">
      <x:alignment vertical="center"/>
    </x:xf>
    <x:xf numFmtId="165" fontId="0" fillId="0" borderId="1" xfId="0" applyAlignment="1">
      <x:alignment vertical="center"/>
    </x:xf>
    <x:xf numFmtId="0" fontId="2" fillId="3" borderId="1" xfId="0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c5b1d15b1f4eb0" /><Relationship Type="http://schemas.openxmlformats.org/officeDocument/2006/relationships/theme" Target="/xl/theme/theme1.xml" Id="R6b73ba80506b4944" /><Relationship Type="http://schemas.openxmlformats.org/officeDocument/2006/relationships/sharedStrings" Target="/xl/sharedStrings.xml" Id="R65820b7145b84cd2" /><Relationship Type="http://schemas.openxmlformats.org/officeDocument/2006/relationships/worksheet" Target="/xl/worksheets/sheet1.xml" Id="R63313c61e78d45cc" /><Relationship Type="http://schemas.openxmlformats.org/officeDocument/2006/relationships/worksheet" Target="/xl/worksheets/sheet2.xml" Id="Rc1613b9bc2924a54" /><Relationship Type="http://schemas.openxmlformats.org/officeDocument/2006/relationships/worksheet" Target="/xl/worksheets/sheet3.xml" Id="R3c700fe6aa6a4071" /><Relationship Type="http://schemas.openxmlformats.org/officeDocument/2006/relationships/worksheet" Target="/xl/worksheets/sheet4.xml" Id="Rb4ce5704b43b4b5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30" customWidth="1"/>
    <x:col min="2" max="2" width="20" customWidth="1"/>
    <x:col min="3" max="3" width="4" customWidth="1"/>
    <x:col min="4" max="4" width="24" customWidth="1"/>
    <x:col min="5" max="5" width="28" customWidth="1"/>
  </x:cols>
  <x:sheetData>
    <x:row r="1" ht="30" customHeight="1">
      <x:c r="A1" s="1" t="inlineStr">
        <x:is>
          <x:t xml:space="preserve">Samyang Foods DCF Valuation</x:t>
        </x:is>
      </x:c>
      <x:c r="B1" s="2" t="n"/>
      <x:c r="C1" s="2" t="n"/>
      <x:c r="D1" s="2" t="n"/>
      <x:c r="E1" s="2" t="n"/>
    </x:row>
    <x:row r="2">
      <x:c r="A2" s="2" t="n"/>
      <x:c r="B2" s="2" t="n"/>
      <x:c r="C2" s="2" t="n"/>
      <x:c r="D2" s="2" t="n"/>
      <x:c r="E2" s="2" t="n"/>
    </x:row>
    <x:row r="3">
      <x:c r="A3" s="3" t="inlineStr">
        <x:is>
          <x:t xml:space="preserve">Valuation date</x:t>
        </x:is>
      </x:c>
      <x:c r="B3" s="3" t="inlineStr">
        <x:is>
          <x:t xml:space="preserve">2026-06-30</x:t>
        </x:is>
      </x:c>
      <x:c r="C3" s="2" t="n"/>
      <x:c r="D3" s="3" t="inlineStr">
        <x:is>
          <x:t xml:space="preserve">Reference price</x:t>
        </x:is>
      </x:c>
      <x:c r="E3" s="4" t="n">
        <x:v>1300000</x:v>
      </x:c>
    </x:row>
    <x:row r="4">
      <x:c r="A4" s="3" t="inlineStr">
        <x:is>
          <x:t xml:space="preserve">DCF equity value (KRW bn)</x:t>
        </x:is>
      </x:c>
      <x:c r="B4" s="5" t="n">
        <x:v>12293.10424995298</x:v>
      </x:c>
      <x:c r="C4" s="2" t="n"/>
      <x:c r="D4" s="3" t="inlineStr">
        <x:is>
          <x:t xml:space="preserve">DCF value/share</x:t>
        </x:is>
      </x:c>
      <x:c r="E4" s="4" t="n">
        <x:v>1631896.956258946</x:v>
      </x:c>
    </x:row>
    <x:row r="5">
      <x:c r="A5" s="3" t="inlineStr">
        <x:is>
          <x:t xml:space="preserve">PV of explicit FCFF</x:t>
        </x:is>
      </x:c>
      <x:c r="B5" s="5" t="n">
        <x:v>2418.981564090913</x:v>
      </x:c>
      <x:c r="C5" s="2" t="n"/>
      <x:c r="D5" s="3" t="inlineStr">
        <x:is>
          <x:t xml:space="preserve">Upside vs reference</x:t>
        </x:is>
      </x:c>
      <x:c r="E5" s="6" t="n">
        <x:v>0.2553053509684198</x:v>
      </x:c>
    </x:row>
    <x:row r="6">
      <x:c r="A6" s="3" t="inlineStr">
        <x:is>
          <x:t xml:space="preserve">PV of terminal value</x:t>
        </x:is>
      </x:c>
      <x:c r="B6" s="5" t="n">
        <x:v>9797.815685862068</x:v>
      </x:c>
      <x:c r="C6" s="2" t="n"/>
      <x:c r="D6" s="3" t="inlineStr">
        <x:is>
          <x:t xml:space="preserve">Status</x:t>
        </x:is>
      </x:c>
      <x:c r="E6" s="3" t="inlineStr">
        <x:is>
          <x:t xml:space="preserve">2026H1 filing anchored</x:t>
        </x:is>
      </x:c>
    </x:row>
    <x:row r="7">
      <x:c r="A7" s="3" t="inlineStr">
        <x:is>
          <x:t xml:space="preserve">Net cash</x:t>
        </x:is>
      </x:c>
      <x:c r="B7" s="5" t="n">
        <x:v>76.307</x:v>
      </x:c>
      <x:c r="C7" s="2" t="n"/>
      <x:c r="D7" s="3" t="inlineStr">
        <x:is>
          <x:t xml:space="preserve">Model convention</x:t>
        </x:is>
      </x:c>
      <x:c r="E7" s="3" t="inlineStr">
        <x:is>
          <x:t xml:space="preserve">Mid-year discounting</x:t>
        </x:is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4" customWidth="1"/>
    <x:col min="2" max="2" width="24" customWidth="1"/>
    <x:col min="3" max="3" width="18" customWidth="1"/>
    <x:col min="4" max="4" width="16" customWidth="1"/>
    <x:col min="5" max="5" width="16" customWidth="1"/>
    <x:col min="6" max="6" width="52" customWidth="1"/>
  </x:cols>
  <x:sheetData>
    <x:row r="1" ht="30" customHeight="1">
      <x:c r="A1" s="1" t="inlineStr">
        <x:is>
          <x:t xml:space="preserve">DCF Inputs</x:t>
        </x:is>
      </x:c>
      <x:c r="B1" s="2" t="n"/>
      <x:c r="C1" s="2" t="n"/>
      <x:c r="D1" s="2" t="n"/>
      <x:c r="E1" s="2" t="n"/>
      <x:c r="F1" s="2" t="n"/>
    </x:row>
    <x:row r="2">
      <x:c r="A2" s="2" t="n"/>
      <x:c r="B2" s="2" t="n"/>
      <x:c r="C2" s="2" t="n"/>
      <x:c r="D2" s="2" t="n"/>
      <x:c r="E2" s="2" t="n"/>
      <x:c r="F2" s="2" t="n"/>
    </x:row>
    <x:row r="3">
      <x:c r="A3" s="7" t="inlineStr">
        <x:is>
          <x:t xml:space="preserve">Category</x:t>
        </x:is>
      </x:c>
      <x:c r="B3" s="7" t="inlineStr">
        <x:is>
          <x:t xml:space="preserve">Item</x:t>
        </x:is>
      </x:c>
      <x:c r="C3" s="7" t="inlineStr">
        <x:is>
          <x:t xml:space="preserve">Value</x:t>
        </x:is>
      </x:c>
      <x:c r="D3" s="7" t="inlineStr">
        <x:is>
          <x:t xml:space="preserve">Unit</x:t>
        </x:is>
      </x:c>
      <x:c r="E3" s="7" t="inlineStr">
        <x:is>
          <x:t xml:space="preserve">Status</x:t>
        </x:is>
      </x:c>
      <x:c r="F3" s="7" t="inlineStr">
        <x:is>
          <x:t xml:space="preserve">Source / note</x:t>
        </x:is>
      </x:c>
    </x:row>
    <x:row r="4">
      <x:c r="A4" s="3" t="inlineStr">
        <x:is>
          <x:t xml:space="preserve">Common</x:t>
        </x:is>
      </x:c>
      <x:c r="B4" s="3" t="inlineStr">
        <x:is>
          <x:t xml:space="preserve">Shares outstanding</x:t>
        </x:is>
      </x:c>
      <x:c r="C4" s="3" t="n">
        <x:v>7.533015</x:v>
      </x:c>
      <x:c r="D4" s="3" t="inlineStr">
        <x:is>
          <x:t xml:space="preserve">mn shares</x:t>
        </x:is>
      </x:c>
      <x:c r="E4" s="3" t="inlineStr">
        <x:is>
          <x:t xml:space="preserve">Filed</x:t>
        </x:is>
      </x:c>
      <x:c r="F4" s="3" t="inlineStr">
        <x:is>
          <x:t xml:space="preserve">7,533,015 common shares</x:t>
        </x:is>
      </x:c>
    </x:row>
    <x:row r="5">
      <x:c r="A5" s="3" t="inlineStr">
        <x:is>
          <x:t xml:space="preserve">Common</x:t>
        </x:is>
      </x:c>
      <x:c r="B5" s="3" t="inlineStr">
        <x:is>
          <x:t xml:space="preserve">Net cash</x:t>
        </x:is>
      </x:c>
      <x:c r="C5" s="3" t="n">
        <x:v>76.307</x:v>
      </x:c>
      <x:c r="D5" s="3" t="inlineStr">
        <x:is>
          <x:t xml:space="preserve">KRW bn</x:t>
        </x:is>
      </x:c>
      <x:c r="E5" s="3" t="inlineStr">
        <x:is>
          <x:t xml:space="preserve">Filed</x:t>
        </x:is>
      </x:c>
      <x:c r="F5" s="3" t="inlineStr">
        <x:is>
          <x:t xml:space="preserve">2026H1 cash + ST financial assets - debt - leases</x:t>
        </x:is>
      </x:c>
    </x:row>
    <x:row r="6">
      <x:c r="A6" s="3" t="inlineStr">
        <x:is>
          <x:t xml:space="preserve">DCF</x:t>
        </x:is>
      </x:c>
      <x:c r="B6" s="3" t="inlineStr">
        <x:is>
          <x:t xml:space="preserve">WACC</x:t>
        </x:is>
      </x:c>
      <x:c r="C6" s="6" t="n">
        <x:v>0.08500000000000001</x:v>
      </x:c>
      <x:c r="D6" s="3" t="inlineStr">
        <x:is>
          <x:t xml:space="preserve">%</x:t>
        </x:is>
      </x:c>
      <x:c r="E6" s="3" t="inlineStr">
        <x:is>
          <x:t xml:space="preserve">Assumption</x:t>
        </x:is>
      </x:c>
      <x:c r="F6" s="3" t="inlineStr">
        <x:is>
          <x:t xml:space="preserve">Independent model assumption</x:t>
        </x:is>
      </x:c>
    </x:row>
    <x:row r="7">
      <x:c r="A7" s="3" t="inlineStr">
        <x:is>
          <x:t xml:space="preserve">DCF</x:t>
        </x:is>
      </x:c>
      <x:c r="B7" s="3" t="inlineStr">
        <x:is>
          <x:t xml:space="preserve">Terminal growth</x:t>
        </x:is>
      </x:c>
      <x:c r="C7" s="6" t="n">
        <x:v>0.025</x:v>
      </x:c>
      <x:c r="D7" s="3" t="inlineStr">
        <x:is>
          <x:t xml:space="preserve">%</x:t>
        </x:is>
      </x:c>
      <x:c r="E7" s="3" t="inlineStr">
        <x:is>
          <x:t xml:space="preserve">Assumption</x:t>
        </x:is>
      </x:c>
      <x:c r="F7" s="3" t="inlineStr">
        <x:is>
          <x:t xml:space="preserve">Long-run nominal growth</x:t>
        </x:is>
      </x:c>
    </x:row>
    <x:row r="8">
      <x:c r="A8" s="3" t="inlineStr">
        <x:is>
          <x:t xml:space="preserve">DCF</x:t>
        </x:is>
      </x:c>
      <x:c r="B8" s="3" t="inlineStr">
        <x:is>
          <x:t xml:space="preserve">Discount timing</x:t>
        </x:is>
      </x:c>
      <x:c r="C8" s="3" t="inlineStr">
        <x:is>
          <x:t xml:space="preserve">Mid-year</x:t>
        </x:is>
      </x:c>
      <x:c r="D8" s="3" t="inlineStr">
        <x:is>
          <x:t xml:space="preserve">text</x:t>
        </x:is>
      </x:c>
      <x:c r="E8" s="3" t="inlineStr">
        <x:is>
          <x:t xml:space="preserve">Assumption</x:t>
        </x:is>
      </x:c>
      <x:c r="F8" s="3" t="inlineStr">
        <x:is>
          <x:t xml:space="preserve">2026E FCFF discounted by 0.5 year</x:t>
        </x:is>
      </x:c>
    </x:row>
    <x:row r="9">
      <x:c r="A9" s="3" t="inlineStr">
        <x:is>
          <x:t xml:space="preserve">Market</x:t>
        </x:is>
      </x:c>
      <x:c r="B9" s="3" t="inlineStr">
        <x:is>
          <x:t xml:space="preserve">Reference price</x:t>
        </x:is>
      </x:c>
      <x:c r="C9" s="3" t="n">
        <x:v>1300000</x:v>
      </x:c>
      <x:c r="D9" s="3" t="inlineStr">
        <x:is>
          <x:t xml:space="preserve">KRW/share</x:t>
        </x:is>
      </x:c>
      <x:c r="E9" s="3" t="inlineStr">
        <x:is>
          <x:t xml:space="preserve">Observed</x:t>
        </x:is>
      </x:c>
      <x:c r="F9" s="3" t="inlineStr">
        <x:is>
          <x:t xml:space="preserve">2026-09-18 close</x:t>
        </x:is>
      </x:c>
    </x:row>
    <x:row r="11" ht="22" customHeight="1">
      <x:c r="A11" s="9" t="str">
        <x:v>DCF controls</x:v>
      </x:c>
      <x:c r="B11" s="9"/>
      <x:c r="C11" s="9"/>
      <x:c r="D11" s="9"/>
      <x:c r="E11" s="9"/>
      <x:c r="F11" s="9"/>
    </x:row>
    <x:row r="12" ht="34" customHeight="1">
      <x:c r="A12" s="13" t="str">
        <x:v>Actual anchor</x:v>
      </x:c>
      <x:c r="B12" s="13" t="str">
        <x:v>2026H1 reported actuals; latest actual period must be changed only after matching DART and official IR.</x:v>
      </x:c>
      <x:c r="C12" s="13"/>
      <x:c r="D12" s="13"/>
      <x:c r="E12" s="13"/>
      <x:c r="F12" s="13"/>
    </x:row>
    <x:row r="13" ht="34" customHeight="1">
      <x:c r="A13" s="17" t="str">
        <x:v>Market vintage</x:v>
      </x:c>
      <x:c r="B13" s="17" t="str">
        <x:v>Reference price is 2026-09-18 close; the model header date is 2026-06-30. Do not present both as one synchronized valuation date.</x:v>
      </x:c>
      <x:c r="C13" s="17"/>
      <x:c r="D13" s="17"/>
      <x:c r="E13" s="17"/>
      <x:c r="F13" s="17"/>
    </x:row>
    <x:row r="14" ht="34" customHeight="1">
      <x:c r="A14" s="13" t="str">
        <x:v>Peer evidence</x:v>
      </x:c>
      <x:c r="B14" s="13" t="str">
        <x:v>PER +50% is an observed-price sensitivity, not a calibrated fair premium. See research/PEER_SELECTION_SCORECARD.md.</x:v>
      </x:c>
      <x:c r="C14" s="13"/>
      <x:c r="D14" s="13"/>
      <x:c r="E14" s="13"/>
      <x:c r="F14" s="13"/>
    </x:row>
    <x:row r="15" ht="34" customHeight="1">
      <x:c r="A15" s="17" t="str">
        <x:v>Refresh gate</x:v>
      </x:c>
      <x:c r="B15" s="17" t="str">
        <x:v>Separate reported, preliminary, consensus, analyst assumption and scenario inputs before rerunning. See research/VALUATION_VINTAGE_POLICY.md.</x:v>
      </x:c>
      <x:c r="C15" s="17"/>
      <x:c r="D15" s="17"/>
      <x:c r="E15" s="17"/>
      <x:c r="F15" s="17"/>
    </x:row>
  </x:sheetData>
  <x:mergeCells>
    <x:mergeCell ref="A1:F1"/>
    <x:mergeCell ref="A11:F11"/>
    <x:mergeCell ref="B12:F12"/>
    <x:mergeCell ref="B13:F13"/>
    <x:mergeCell ref="B14:F14"/>
    <x:mergeCell ref="B15:F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0" customWidth="1"/>
    <x:col min="2" max="2" width="14" customWidth="1"/>
    <x:col min="3" max="3" width="12" customWidth="1"/>
    <x:col min="4" max="4" width="14" customWidth="1"/>
    <x:col min="5" max="5" width="14" customWidth="1"/>
    <x:col min="6" max="6" width="10" customWidth="1"/>
    <x:col min="7" max="7" width="14" customWidth="1"/>
    <x:col min="8" max="8" width="12" customWidth="1"/>
    <x:col min="9" max="9" width="12" customWidth="1"/>
    <x:col min="10" max="10" width="12" customWidth="1"/>
    <x:col min="11" max="11" width="14" customWidth="1"/>
    <x:col min="12" max="12" width="16" customWidth="1"/>
    <x:col min="13" max="13" width="14" customWidth="1"/>
    <x:col min="14" max="14" width="12" customWidth="1"/>
  </x:cols>
  <x:sheetData>
    <x:row r="1" ht="30" customHeight="1">
      <x:c r="A1" s="1" t="inlineStr">
        <x:is>
          <x:t xml:space="preserve">DCF Forecast &amp; Discounting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  <x:c r="M1" s="2" t="n"/>
      <x:c r="N1" s="2" t="n"/>
    </x:row>
    <x:row r="2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  <x:c r="N2" s="2" t="n"/>
    </x:row>
    <x:row r="3">
      <x:c r="A3" s="7" t="inlineStr">
        <x:is>
          <x:t xml:space="preserve">Year</x:t>
        </x:is>
      </x:c>
      <x:c r="B3" s="7" t="inlineStr">
        <x:is>
          <x:t xml:space="preserve">Revenue</x:t>
        </x:is>
      </x:c>
      <x:c r="C3" s="7" t="inlineStr">
        <x:is>
          <x:t xml:space="preserve">Growth</x:t>
        </x:is>
      </x:c>
      <x:c r="D3" s="7" t="inlineStr">
        <x:is>
          <x:t xml:space="preserve">EBIT margin</x:t>
        </x:is>
      </x:c>
      <x:c r="E3" s="7" t="inlineStr">
        <x:is>
          <x:t xml:space="preserve">EBIT</x:t>
        </x:is>
      </x:c>
      <x:c r="F3" s="7" t="inlineStr">
        <x:is>
          <x:t xml:space="preserve">Tax</x:t>
        </x:is>
      </x:c>
      <x:c r="G3" s="7" t="inlineStr">
        <x:is>
          <x:t xml:space="preserve">NOPAT</x:t>
        </x:is>
      </x:c>
      <x:c r="H3" s="7" t="inlineStr">
        <x:is>
          <x:t xml:space="preserve">D&amp;A</x:t>
        </x:is>
      </x:c>
      <x:c r="I3" s="7" t="inlineStr">
        <x:is>
          <x:t xml:space="preserve">CAPEX</x:t>
        </x:is>
      </x:c>
      <x:c r="J3" s="7" t="inlineStr">
        <x:is>
          <x:t xml:space="preserve">ΔNWC</x:t>
        </x:is>
      </x:c>
      <x:c r="K3" s="7" t="inlineStr">
        <x:is>
          <x:t xml:space="preserve">FCFF</x:t>
        </x:is>
      </x:c>
      <x:c r="L3" s="7" t="inlineStr">
        <x:is>
          <x:t xml:space="preserve">Discount factor</x:t>
        </x:is>
      </x:c>
      <x:c r="M3" s="7" t="inlineStr">
        <x:is>
          <x:t xml:space="preserve">PV FCFF</x:t>
        </x:is>
      </x:c>
      <x:c r="N3" s="7" t="inlineStr">
        <x:is>
          <x:t xml:space="preserve">Unit</x:t>
        </x:is>
      </x:c>
    </x:row>
    <x:row r="4">
      <x:c r="A4" s="3" t="n">
        <x:v>2026</x:v>
      </x:c>
      <x:c r="B4" s="5" t="n">
        <x:v>3100</x:v>
      </x:c>
      <x:c r="C4" s="6" t="n">
        <x:v>0.318148</x:v>
      </x:c>
      <x:c r="D4" s="6" t="n">
        <x:v>0.235</x:v>
      </x:c>
      <x:c r="E4" s="5" t="n">
        <x:v>728.5</x:v>
      </x:c>
      <x:c r="F4" s="6" t="n">
        <x:v>0.26</x:v>
      </x:c>
      <x:c r="G4" s="5" t="n">
        <x:f>E4*(1-F4)</x:f>
        <x:v>539.09</x:v>
      </x:c>
      <x:c r="H4" s="5" t="n">
        <x:v>80</x:v>
      </x:c>
      <x:c r="I4" s="5" t="n">
        <x:v>250</x:v>
      </x:c>
      <x:c r="J4" s="5" t="n">
        <x:v>74.523</x:v>
      </x:c>
      <x:c r="K4" s="5" t="n">
        <x:f>G4+H4-I4-J4</x:f>
        <x:v>294.567</x:v>
      </x:c>
      <x:c r="L4" s="6" t="n">
        <x:f>1/(1+Inputs!$C$6)^(A4-2026+0.5)</x:f>
        <x:v>0.9600307214746386</x:v>
      </x:c>
      <x:c r="M4" s="5" t="n">
        <x:f>K4*L4</x:f>
        <x:v>282.79336953261986</x:v>
      </x:c>
      <x:c r="N4" s="3" t="inlineStr">
        <x:is>
          <x:t xml:space="preserve">KRW bn</x:t>
        </x:is>
      </x:c>
    </x:row>
    <x:row r="5">
      <x:c r="A5" s="3" t="n">
        <x:v>2027</x:v>
      </x:c>
      <x:c r="B5" s="5" t="n">
        <x:v>3720</x:v>
      </x:c>
      <x:c r="C5" s="6" t="n">
        <x:v>0.2</x:v>
      </x:c>
      <x:c r="D5" s="6" t="n">
        <x:v>0.238</x:v>
      </x:c>
      <x:c r="E5" s="5" t="n">
        <x:v>885.36</x:v>
      </x:c>
      <x:c r="F5" s="6" t="n">
        <x:v>0.26</x:v>
      </x:c>
      <x:c r="G5" s="5" t="n">
        <x:f>E5*(1-F5)</x:f>
        <x:v>655.1664</x:v>
      </x:c>
      <x:c r="H5" s="5" t="n">
        <x:v>105</x:v>
      </x:c>
      <x:c r="I5" s="5" t="n">
        <x:v>180</x:v>
      </x:c>
      <x:c r="J5" s="5" t="n">
        <x:v>63.86</x:v>
      </x:c>
      <x:c r="K5" s="5" t="n">
        <x:f>G5+H5-I5-J5</x:f>
        <x:v>516.3063999999999</x:v>
      </x:c>
      <x:c r="L5" s="6" t="n">
        <x:f>1/(1+Inputs!$C$6)^(A5-2026+0.5)</x:f>
        <x:v>0.88482094145128</x:v>
      </x:c>
      <x:c r="M5" s="5" t="n">
        <x:f>K5*L5</x:f>
        <x:v>456.8387149253211</x:v>
      </x:c>
      <x:c r="N5" s="3" t="inlineStr">
        <x:is>
          <x:t xml:space="preserve">KRW bn</x:t>
        </x:is>
      </x:c>
    </x:row>
    <x:row r="6">
      <x:c r="A6" s="3" t="n">
        <x:v>2028</x:v>
      </x:c>
      <x:c r="B6" s="5" t="n">
        <x:v>4315.2</x:v>
      </x:c>
      <x:c r="C6" s="6" t="n">
        <x:v>0.16</x:v>
      </x:c>
      <x:c r="D6" s="6" t="n">
        <x:v>0.24</x:v>
      </x:c>
      <x:c r="E6" s="5" t="n">
        <x:v>1035.648</x:v>
      </x:c>
      <x:c r="F6" s="6" t="n">
        <x:v>0.26</x:v>
      </x:c>
      <x:c r="G6" s="5" t="n">
        <x:f>E6*(1-F6)</x:f>
        <x:v>766.37952</x:v>
      </x:c>
      <x:c r="H6" s="5" t="n">
        <x:v>120</x:v>
      </x:c>
      <x:c r="I6" s="5" t="n">
        <x:v>170</x:v>
      </x:c>
      <x:c r="J6" s="5" t="n">
        <x:v>57.288</x:v>
      </x:c>
      <x:c r="K6" s="5" t="n">
        <x:f>G6+H6-I6-J6</x:f>
        <x:v>659.09152</x:v>
      </x:c>
      <x:c r="L6" s="6" t="n">
        <x:f>1/(1+Inputs!$C$6)^(A6-2026+0.5)</x:f>
        <x:v>0.8155031718444976</x:v>
      </x:c>
      <x:c r="M6" s="5" t="n">
        <x:f>K6*L6</x:f>
        <x:v>537.491225095811</x:v>
      </x:c>
      <x:c r="N6" s="3" t="inlineStr">
        <x:is>
          <x:t xml:space="preserve">KRW bn</x:t>
        </x:is>
      </x:c>
    </x:row>
    <x:row r="7">
      <x:c r="A7" s="3" t="n">
        <x:v>2029</x:v>
      </x:c>
      <x:c r="B7" s="5" t="n">
        <x:v>4833.024</x:v>
      </x:c>
      <x:c r="C7" s="6" t="n">
        <x:v>0.12</x:v>
      </x:c>
      <x:c r="D7" s="6" t="n">
        <x:v>0.238</x:v>
      </x:c>
      <x:c r="E7" s="5" t="n">
        <x:v>1150.26</x:v>
      </x:c>
      <x:c r="F7" s="6" t="n">
        <x:v>0.26</x:v>
      </x:c>
      <x:c r="G7" s="5" t="n">
        <x:f>E7*(1-F7)</x:f>
        <x:v>851.1924</x:v>
      </x:c>
      <x:c r="H7" s="5" t="n">
        <x:v>130</x:v>
      </x:c>
      <x:c r="I7" s="5" t="n">
        <x:v>180</x:v>
      </x:c>
      <x:c r="J7" s="5" t="n">
        <x:v>45.051</x:v>
      </x:c>
      <x:c r="K7" s="5" t="n">
        <x:f>G7+H7-I7-J7</x:f>
        <x:v>756.1414</x:v>
      </x:c>
      <x:c r="L7" s="6" t="n">
        <x:f>1/(1+Inputs!$C$6)^(A7-2026+0.5)</x:f>
        <x:v>0.7516158265847905</x:v>
      </x:c>
      <x:c r="M7" s="5" t="n">
        <x:f>K7*L7</x:f>
        <x:v>568.3278433759807</x:v>
      </x:c>
      <x:c r="N7" s="3" t="inlineStr">
        <x:is>
          <x:t xml:space="preserve">KRW bn</x:t>
        </x:is>
      </x:c>
    </x:row>
    <x:row r="8">
      <x:c r="A8" s="3" t="n">
        <x:v>2030</x:v>
      </x:c>
      <x:c r="B8" s="5" t="n">
        <x:v>5267.996</x:v>
      </x:c>
      <x:c r="C8" s="6" t="n">
        <x:v>0.09</x:v>
      </x:c>
      <x:c r="D8" s="6" t="n">
        <x:v>0.235</x:v>
      </x:c>
      <x:c r="E8" s="5" t="n">
        <x:v>1237.979</x:v>
      </x:c>
      <x:c r="F8" s="6" t="n">
        <x:v>0.26</x:v>
      </x:c>
      <x:c r="G8" s="5" t="n">
        <x:f>E8*(1-F8)</x:f>
        <x:v>916.10446</x:v>
      </x:c>
      <x:c r="H8" s="5" t="n">
        <x:v>140</x:v>
      </x:c>
      <x:c r="I8" s="5" t="n">
        <x:v>190</x:v>
      </x:c>
      <x:c r="J8" s="5" t="n">
        <x:v>38.181</x:v>
      </x:c>
      <x:c r="K8" s="5" t="n">
        <x:f>G8+H8-I8-J8</x:f>
        <x:v>827.92346</x:v>
      </x:c>
      <x:c r="L8" s="6" t="n">
        <x:f>1/(1+Inputs!$C$6)^(A8-2026+0.5)</x:f>
        <x:v>0.6927334807233092</x:v>
      </x:c>
      <x:c r="M8" s="5" t="n">
        <x:f>K8*L8</x:f>
        <x:v>573.5303002182854</x:v>
      </x:c>
      <x:c r="N8" s="3" t="inlineStr">
        <x:is>
          <x:t xml:space="preserve">KRW bn</x:t>
        </x:is>
      </x:c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18" customWidth="1"/>
    <x:col min="3" max="3" width="18" customWidth="1"/>
    <x:col min="4" max="4" width="18" customWidth="1"/>
    <x:col min="5" max="5" width="4" customWidth="1"/>
  </x:cols>
  <x:sheetData>
    <x:row r="1" ht="30" customHeight="1">
      <x:c r="A1" s="1" t="inlineStr">
        <x:is>
          <x:t xml:space="preserve">DCF Sensitivity — Value per Share (KRW)</x:t>
        </x:is>
      </x:c>
      <x:c r="B1" s="2" t="n"/>
      <x:c r="C1" s="2" t="n"/>
      <x:c r="D1" s="2" t="n"/>
      <x:c r="E1" s="2" t="n"/>
    </x:row>
    <x:row r="2">
      <x:c r="A2" s="2" t="n"/>
      <x:c r="B2" s="2" t="n"/>
      <x:c r="C2" s="2" t="n"/>
      <x:c r="D2" s="2" t="n"/>
      <x:c r="E2" s="2" t="n"/>
    </x:row>
    <x:row r="3">
      <x:c r="A3" s="7" t="inlineStr">
        <x:is>
          <x:t xml:space="preserve">WACC / g</x:t>
        </x:is>
      </x:c>
      <x:c r="B3" s="7" t="inlineStr">
        <x:is>
          <x:t xml:space="preserve">2.0%</x:t>
        </x:is>
      </x:c>
      <x:c r="C3" s="7" t="inlineStr">
        <x:is>
          <x:t xml:space="preserve">2.5%</x:t>
        </x:is>
      </x:c>
      <x:c r="D3" s="7" t="inlineStr">
        <x:is>
          <x:t xml:space="preserve">3.0%</x:t>
        </x:is>
      </x:c>
      <x:c r="E3" s="2" t="n"/>
    </x:row>
    <x:row r="4">
      <x:c r="A4" s="6" t="n">
        <x:v>0.075</x:v>
      </x:c>
      <x:c r="B4" s="4" t="n">
        <x:v>1811709.516093668</x:v>
      </x:c>
      <x:c r="C4" s="4" t="n">
        <x:v>1966851.494578313</x:v>
      </x:c>
      <x:c r="D4" s="4" t="n">
        <x:v>2156469.468281768</x:v>
      </x:c>
      <x:c r="E4" s="2" t="n"/>
    </x:row>
    <x:row r="5">
      <x:c r="A5" s="6" t="n">
        <x:v>0.08</x:v>
      </x:c>
      <x:c r="B5" s="4" t="n">
        <x:v>1656902.089060203</x:v>
      </x:c>
      <x:c r="C5" s="4" t="n">
        <x:v>1784104.270779222</x:v>
      </x:c>
      <x:c r="D5" s="4" t="n">
        <x:v>1936746.888842045</x:v>
      </x:c>
      <x:c r="E5" s="2" t="n"/>
    </x:row>
    <x:row r="6">
      <x:c r="A6" s="6" t="n">
        <x:v>0.08500000000000001</x:v>
      </x:c>
      <x:c r="B6" s="4" t="n">
        <x:v>1525990.373853603</x:v>
      </x:c>
      <x:c r="C6" s="4" t="n">
        <x:v>1631896.956258946</x:v>
      </x:c>
      <x:c r="D6" s="4" t="n">
        <x:v>1757059.280919806</x:v>
      </x:c>
      <x:c r="E6" s="2" t="n"/>
    </x:row>
    <x:row r="7">
      <x:c r="A7" s="6" t="n">
        <x:v>0.09</x:v>
      </x:c>
      <x:c r="B7" s="4" t="n">
        <x:v>1413852.31977681</x:v>
      </x:c>
      <x:c r="C7" s="4" t="n">
        <x:v>1503180.298044413</x:v>
      </x:c>
      <x:c r="D7" s="4" t="n">
        <x:v>1607396.272689951</x:v>
      </x:c>
      <x:c r="E7" s="2" t="n"/>
    </x:row>
    <x:row r="8">
      <x:c r="A8" s="6" t="n">
        <x:v>0.095</x:v>
      </x:c>
      <x:c r="B8" s="4" t="n">
        <x:v>1316731.793671299</x:v>
      </x:c>
      <x:c r="C8" s="4" t="n">
        <x:v>1392919.153471362</x:v>
      </x:c>
      <x:c r="D8" s="4" t="n">
        <x:v>1480827.645548358</x:v>
      </x:c>
      <x:c r="E8" s="2" t="n"/>
    </x:row>
  </x:sheetData>
  <x:mergeCells>
    <x:mergeCell ref="A1:E1"/>
  </x:mergeCells>
  <x:conditionalFormatting sqref="B4:D8">
    <x:cfRule type="colorScale" priority="1">
      <x:colorScale>
        <x:cfvo type="min"/>
        <x:cfvo type="percentile" val="50"/>
        <x:cfvo type="max"/>
        <x:color rgb="00F8696B"/>
        <x:color rgb="00FFEB84"/>
        <x:color rgb="0063BE7B"/>
      </x:colorScale>
    </x:cfRule>
  </x:conditionalFormatting>
  <x:pageMargins left="0.7" right="0.7" top="0.75" bottom="0.75" header="0.3" footer="0.3"/>
</x:worksheet>
</file>